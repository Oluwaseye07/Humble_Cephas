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irvin\Desktop\00ExcelBasics\Files\"/>
    </mc:Choice>
  </mc:AlternateContent>
  <xr:revisionPtr revIDLastSave="0" documentId="13_ncr:1_{8F50BD8D-D71B-4E94-8782-40BD8ECE182F}" xr6:coauthVersionLast="47" xr6:coauthVersionMax="47" xr10:uidLastSave="{00000000-0000-0000-0000-000000000000}"/>
  <bookViews>
    <workbookView xWindow="-108" yWindow="-108" windowWidth="23256" windowHeight="12576" tabRatio="843" xr2:uid="{9AAAC9B7-1420-434A-9ABD-AE5CD0F6F897}"/>
  </bookViews>
  <sheets>
    <sheet name="Topics" sheetId="48" r:id="rId1"/>
    <sheet name="Date and Time Formulas" sheetId="1" r:id="rId2"/>
    <sheet name="DateSerialNums" sheetId="11" r:id="rId3"/>
    <sheet name="DateSerialNums (an)" sheetId="46" r:id="rId4"/>
    <sheet name="DateNF" sheetId="20" r:id="rId5"/>
    <sheet name="F(1-5)" sheetId="2" r:id="rId6"/>
    <sheet name="F(1-5an)" sheetId="45" r:id="rId7"/>
    <sheet name="F(6-7)" sheetId="3" r:id="rId8"/>
    <sheet name="F(6-7an)" sheetId="44" r:id="rId9"/>
    <sheet name="F(8-11)" sheetId="4" r:id="rId10"/>
    <sheet name="F(8-11an)" sheetId="43" r:id="rId11"/>
    <sheet name="F(12-15)" sheetId="5" r:id="rId12"/>
    <sheet name="F(12-15an)" sheetId="41" r:id="rId13"/>
    <sheet name="F(16-20)" sheetId="14" r:id="rId14"/>
    <sheet name="F(16-20an)" sheetId="40" r:id="rId15"/>
    <sheet name="TimeSerialNums" sheetId="10" r:id="rId16"/>
    <sheet name="TimeSerialNums (an)" sheetId="39" r:id="rId17"/>
    <sheet name="TimeNF" sheetId="21" r:id="rId18"/>
    <sheet name="F(21-23)" sheetId="6" r:id="rId19"/>
    <sheet name="F(21-23an)" sheetId="38" r:id="rId20"/>
    <sheet name="F(24-26)" sheetId="7" r:id="rId21"/>
    <sheet name="F(24-26an)" sheetId="37" r:id="rId22"/>
    <sheet name="HW =&gt;" sheetId="25" r:id="rId23"/>
    <sheet name="HW(1)" sheetId="26" r:id="rId24"/>
    <sheet name="HW(1an)" sheetId="27" r:id="rId25"/>
    <sheet name="HW(2)" sheetId="28" r:id="rId26"/>
    <sheet name="HW(2an)" sheetId="29" r:id="rId27"/>
    <sheet name="HW(3)" sheetId="30" r:id="rId28"/>
    <sheet name="HW(3an)" sheetId="31" r:id="rId29"/>
    <sheet name="HW(4)" sheetId="32" r:id="rId30"/>
    <sheet name="HW(4an)" sheetId="33" r:id="rId31"/>
    <sheet name="HW(5)" sheetId="35" r:id="rId32"/>
    <sheet name="HW(5an)" sheetId="36" r:id="rId33"/>
  </sheets>
  <definedNames>
    <definedName name="AussieANSWER">#REF!</definedName>
    <definedName name="FastANSWER">#REF!</definedName>
    <definedName name="FrannyANSWER">#REF!</definedName>
    <definedName name="FreestyleANSWER">#REF!</definedName>
    <definedName name="GigiANSWER">#REF!</definedName>
    <definedName name="JonnANSWER">#REF!</definedName>
    <definedName name="_xlnm.Print_Area" localSheetId="1">'Date and Time Formulas'!$A$1:$K$47</definedName>
    <definedName name="_xlnm.Print_Area" localSheetId="2">DateSerialNums!$A$1:$L$33</definedName>
    <definedName name="_xlnm.Print_Area" localSheetId="3">'DateSerialNums (an)'!$A$1:$L$33</definedName>
    <definedName name="_xlnm.Print_Area" localSheetId="11">'F(12-15)'!$A$1:$I$8</definedName>
    <definedName name="_xlnm.Print_Area" localSheetId="12">'F(12-15an)'!$A$1:$I$8</definedName>
    <definedName name="_xlnm.Print_Area" localSheetId="5">'F(1-5)'!$A$1:$I$9</definedName>
    <definedName name="_xlnm.Print_Area" localSheetId="6">'F(1-5an)'!$A$1:$I$9</definedName>
    <definedName name="_xlnm.Print_Area" localSheetId="13">'F(16-20)'!$A$1:$H$9</definedName>
    <definedName name="_xlnm.Print_Area" localSheetId="14">'F(16-20an)'!$A$1:$H$9</definedName>
    <definedName name="_xlnm.Print_Area" localSheetId="18">'F(21-23)'!$A$1:$L$24</definedName>
    <definedName name="_xlnm.Print_Area" localSheetId="19">'F(21-23an)'!$A$1:$L$24</definedName>
    <definedName name="_xlnm.Print_Area" localSheetId="20">'F(24-26)'!$A$1:$M$23</definedName>
    <definedName name="_xlnm.Print_Area" localSheetId="21">'F(24-26an)'!$A$1:$J$23</definedName>
    <definedName name="_xlnm.Print_Area" localSheetId="7">'F(6-7)'!$A$1:$J$15</definedName>
    <definedName name="_xlnm.Print_Area" localSheetId="8">'F(6-7an)'!$A$1:$J$15</definedName>
    <definedName name="_xlnm.Print_Area" localSheetId="9">'F(8-11)'!$A$1:$I$12</definedName>
    <definedName name="_xlnm.Print_Area" localSheetId="10">'F(8-11an)'!$A$1:$I$12</definedName>
    <definedName name="_xlnm.Print_Area" localSheetId="0">Topics!$A$1:$K$15</definedName>
    <definedName name="_xlnm.Print_Titles" localSheetId="1">'Date and Time Formulas'!$1:$1</definedName>
    <definedName name="ShowFormulas">_xlfn.LAMBDA(_xlpm.Reference,_xlfn.LET(_xlpm.c,_xlpm.Reference,_xlfn.IFNA(ADDRESS(ROW(_xlpm.c),COLUMN(_xlpm.c),4)&amp;": "&amp;_xlfn.FORMULATEXT(_xlpm.c),"")))</definedName>
    <definedName name="TinaANSWER">#REF!</definedName>
    <definedName name="TypeANSWER">#REF!</definedName>
    <definedName name="WindANSW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E47" i="1"/>
  <c r="H46" i="1"/>
  <c r="E46" i="1"/>
  <c r="H45" i="1"/>
  <c r="E45" i="1"/>
  <c r="G25" i="1"/>
  <c r="E26" i="1"/>
  <c r="H26" i="1" a="1"/>
  <c r="H26" i="1" s="1"/>
  <c r="E27" i="1"/>
  <c r="E28" i="1"/>
  <c r="E29" i="1"/>
  <c r="E30" i="1"/>
  <c r="H23" i="1"/>
  <c r="E23" i="1"/>
  <c r="H22" i="1"/>
  <c r="E22" i="1"/>
  <c r="H21" i="1"/>
  <c r="E21" i="1"/>
  <c r="H20" i="1"/>
  <c r="E20" i="1"/>
  <c r="G19" i="1"/>
  <c r="H17" i="1"/>
  <c r="E17" i="1"/>
  <c r="H16" i="1"/>
  <c r="E16" i="1"/>
  <c r="H13" i="1"/>
  <c r="E13" i="1"/>
  <c r="H12" i="1"/>
  <c r="E12" i="1"/>
  <c r="E34" i="1"/>
  <c r="E36" i="1" s="1"/>
  <c r="H34" i="1" a="1"/>
  <c r="H34" i="1" s="1"/>
  <c r="H36" i="1" a="1"/>
  <c r="H36" i="1" s="1"/>
  <c r="E42" i="1"/>
  <c r="H42" i="1" a="1"/>
  <c r="H42" i="1" s="1"/>
  <c r="K7" i="1"/>
  <c r="H8" i="1"/>
  <c r="H9" i="1"/>
  <c r="E3" i="1"/>
  <c r="E4" i="1"/>
  <c r="D5" i="1"/>
  <c r="E5" i="1" s="1"/>
  <c r="E6" i="1"/>
  <c r="E7" i="1"/>
  <c r="H3" i="1" a="1"/>
  <c r="H3" i="1" s="1"/>
  <c r="E20" i="46"/>
  <c r="E19" i="46"/>
  <c r="C6" i="46"/>
  <c r="C4" i="46"/>
  <c r="H9" i="45"/>
  <c r="E9" i="45"/>
  <c r="H8" i="45"/>
  <c r="E8" i="45"/>
  <c r="H7" i="45"/>
  <c r="D7" i="45"/>
  <c r="E7" i="45" s="1"/>
  <c r="H6" i="45"/>
  <c r="E6" i="45"/>
  <c r="H5" i="45"/>
  <c r="E5" i="45"/>
  <c r="J6" i="44"/>
  <c r="J7" i="44" s="1"/>
  <c r="H6" i="44"/>
  <c r="H5" i="44"/>
  <c r="N3" i="44"/>
  <c r="H12" i="43"/>
  <c r="E12" i="43"/>
  <c r="H11" i="43"/>
  <c r="E11" i="43"/>
  <c r="H6" i="43"/>
  <c r="E6" i="43"/>
  <c r="H5" i="43"/>
  <c r="E5" i="43"/>
  <c r="M2" i="43"/>
  <c r="H8" i="41"/>
  <c r="E8" i="41"/>
  <c r="H7" i="41"/>
  <c r="E7" i="41"/>
  <c r="H6" i="41"/>
  <c r="E6" i="41"/>
  <c r="H5" i="41"/>
  <c r="E5" i="41"/>
  <c r="G4" i="41"/>
  <c r="G9" i="40"/>
  <c r="D9" i="40"/>
  <c r="G8" i="40"/>
  <c r="D8" i="40"/>
  <c r="G7" i="40"/>
  <c r="D7" i="40"/>
  <c r="G6" i="40"/>
  <c r="D6" i="40"/>
  <c r="G5" i="40"/>
  <c r="D5" i="40"/>
  <c r="F4" i="40"/>
  <c r="F28" i="39"/>
  <c r="C28" i="39"/>
  <c r="F21" i="39"/>
  <c r="C21" i="39"/>
  <c r="C14" i="39"/>
  <c r="K24" i="38"/>
  <c r="K22" i="38"/>
  <c r="K17" i="38"/>
  <c r="H17" i="38" a="1"/>
  <c r="H17" i="38" s="1"/>
  <c r="H22" i="38" s="1"/>
  <c r="H24" i="38" s="1"/>
  <c r="G6" i="38"/>
  <c r="F6" i="38"/>
  <c r="F5" i="38"/>
  <c r="G5" i="38" s="1"/>
  <c r="B16" i="37"/>
  <c r="B15" i="37"/>
  <c r="C12" i="37"/>
  <c r="H7" i="37"/>
  <c r="E7" i="37"/>
  <c r="H6" i="37"/>
  <c r="E6" i="37"/>
  <c r="H5" i="37"/>
  <c r="E5" i="37"/>
  <c r="K8" i="36" a="1"/>
  <c r="K8" i="36" s="1"/>
  <c r="F8" i="36" a="1"/>
  <c r="F8" i="36" s="1"/>
  <c r="G8" i="36" s="1" a="1"/>
  <c r="G8" i="36" s="1"/>
  <c r="H5" i="7"/>
  <c r="C6" i="11"/>
  <c r="K8" i="33" a="1"/>
  <c r="K8" i="33" s="1"/>
  <c r="F8" i="33" a="1"/>
  <c r="F8" i="33" s="1"/>
  <c r="G8" i="33" s="1" a="1"/>
  <c r="G8" i="33" s="1"/>
  <c r="J12" i="31"/>
  <c r="H12" i="31"/>
  <c r="D12" i="31"/>
  <c r="J6" i="31"/>
  <c r="H6" i="31"/>
  <c r="D6" i="31"/>
  <c r="G5" i="29"/>
  <c r="E5" i="29" a="1"/>
  <c r="E5" i="29" s="1"/>
  <c r="I5" i="27"/>
  <c r="G5" i="27" a="1"/>
  <c r="G5" i="27" s="1"/>
  <c r="H7" i="7"/>
  <c r="H6" i="7"/>
  <c r="K24" i="6"/>
  <c r="K22" i="6"/>
  <c r="K17" i="6"/>
  <c r="G6" i="6"/>
  <c r="F6" i="6"/>
  <c r="G6" i="14"/>
  <c r="G7" i="14"/>
  <c r="G8" i="14"/>
  <c r="G9" i="14"/>
  <c r="G5" i="14"/>
  <c r="H6" i="5"/>
  <c r="H7" i="5"/>
  <c r="H8" i="5"/>
  <c r="H5" i="5"/>
  <c r="H12" i="4"/>
  <c r="H11" i="4"/>
  <c r="H6" i="4"/>
  <c r="H5" i="4"/>
  <c r="H6" i="3"/>
  <c r="H5" i="3"/>
  <c r="H6" i="2"/>
  <c r="H7" i="2"/>
  <c r="H8" i="2"/>
  <c r="H9" i="2"/>
  <c r="H5" i="2"/>
  <c r="F28" i="10"/>
  <c r="F21" i="10"/>
  <c r="J12" i="7"/>
  <c r="E20" i="11"/>
  <c r="E19" i="11"/>
  <c r="D23" i="21"/>
  <c r="B22" i="21"/>
  <c r="D22" i="21" s="1"/>
  <c r="D21" i="21"/>
  <c r="D20" i="21"/>
  <c r="D19" i="21"/>
  <c r="D18" i="21"/>
  <c r="D17" i="21"/>
  <c r="D16" i="21"/>
  <c r="D15" i="21"/>
  <c r="D14" i="21"/>
  <c r="D13" i="21"/>
  <c r="D12" i="21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F4" i="14"/>
  <c r="J6" i="3"/>
  <c r="J7" i="3" s="1"/>
  <c r="D7" i="2"/>
  <c r="I16" i="7"/>
  <c r="G4" i="5"/>
  <c r="I15" i="7"/>
  <c r="K8" i="1" l="1"/>
  <c r="E9" i="1"/>
  <c r="E8" i="1"/>
  <c r="E6" i="44"/>
  <c r="E5" i="44"/>
  <c r="H8" i="36" a="1"/>
  <c r="H8" i="36" s="1"/>
  <c r="I8" i="36" s="1" a="1"/>
  <c r="I8" i="36" s="1"/>
  <c r="H8" i="33" a="1"/>
  <c r="H8" i="33" s="1"/>
  <c r="I8" i="33" s="1" a="1"/>
  <c r="I8" i="3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<sst xmlns="http://schemas.openxmlformats.org/spreadsheetml/2006/main" count="767" uniqueCount="306">
  <si>
    <t>Question:</t>
  </si>
  <si>
    <t>Start</t>
  </si>
  <si>
    <t>End</t>
  </si>
  <si>
    <t>Formula:</t>
  </si>
  <si>
    <t>How many days until school starts?</t>
  </si>
  <si>
    <t>How many days is the invoice past due?</t>
  </si>
  <si>
    <t>How many days was the loan outstanding?</t>
  </si>
  <si>
    <t>How many days did the project take?</t>
  </si>
  <si>
    <t>How many hours did you work on night shift?</t>
  </si>
  <si>
    <t>Number Days</t>
  </si>
  <si>
    <t>When is the loan due?</t>
  </si>
  <si>
    <t>Number Months</t>
  </si>
  <si>
    <t>When does my pension plan vest?</t>
  </si>
  <si>
    <t>What is last day of this month?</t>
  </si>
  <si>
    <t>Difference Between Two Dates</t>
  </si>
  <si>
    <t>Days:</t>
  </si>
  <si>
    <t>Notes:</t>
  </si>
  <si>
    <r>
      <t xml:space="preserve">Difference between dates,
not including 1st day
        = </t>
    </r>
    <r>
      <rPr>
        <b/>
        <sz val="11"/>
        <color theme="1"/>
        <rFont val="Aptos Narrow"/>
        <family val="2"/>
        <scheme val="minor"/>
      </rPr>
      <t>EndDate</t>
    </r>
    <r>
      <rPr>
        <sz val="11"/>
        <color theme="1"/>
        <rFont val="Aptos Narrow"/>
        <family val="2"/>
        <scheme val="minor"/>
      </rPr>
      <t xml:space="preserve"> - </t>
    </r>
    <r>
      <rPr>
        <b/>
        <sz val="11"/>
        <color theme="1"/>
        <rFont val="Aptos Narrow"/>
        <family val="2"/>
        <scheme val="minor"/>
      </rPr>
      <t>StartDate</t>
    </r>
  </si>
  <si>
    <r>
      <t xml:space="preserve">Difference between dates,
including 1st day
        = </t>
    </r>
    <r>
      <rPr>
        <b/>
        <sz val="11"/>
        <color theme="1"/>
        <rFont val="Aptos Narrow"/>
        <family val="2"/>
        <scheme val="minor"/>
      </rPr>
      <t>EndDate</t>
    </r>
    <r>
      <rPr>
        <sz val="11"/>
        <color theme="1"/>
        <rFont val="Aptos Narrow"/>
        <family val="2"/>
        <scheme val="minor"/>
      </rPr>
      <t xml:space="preserve"> - </t>
    </r>
    <r>
      <rPr>
        <b/>
        <sz val="11"/>
        <color theme="1"/>
        <rFont val="Aptos Narrow"/>
        <family val="2"/>
        <scheme val="minor"/>
      </rPr>
      <t>StartDate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1</t>
    </r>
  </si>
  <si>
    <t>Holidays</t>
  </si>
  <si>
    <t>How many workdays are there?
(Fri. &amp; Sat. non-workdays)</t>
  </si>
  <si>
    <t>How many workdays are there?
(Wed. &amp; Sun. non-workdays)</t>
  </si>
  <si>
    <r>
      <t>=NETWORKDAYS.INTL(</t>
    </r>
    <r>
      <rPr>
        <i/>
        <sz val="11"/>
        <color theme="1"/>
        <rFont val="Aptos Narrow"/>
        <family val="2"/>
        <scheme val="minor"/>
      </rPr>
      <t>StartDate</t>
    </r>
    <r>
      <rPr>
        <sz val="11"/>
        <color theme="1"/>
        <rFont val="Aptos Narrow"/>
        <family val="2"/>
        <scheme val="minor"/>
      </rPr>
      <t>,</t>
    </r>
    <r>
      <rPr>
        <i/>
        <sz val="11"/>
        <color theme="1"/>
        <rFont val="Aptos Narrow"/>
        <family val="2"/>
        <scheme val="minor"/>
      </rPr>
      <t>EndDate</t>
    </r>
    <r>
      <rPr>
        <sz val="11"/>
        <color theme="1"/>
        <rFont val="Aptos Narrow"/>
        <family val="2"/>
        <scheme val="minor"/>
      </rPr>
      <t>,</t>
    </r>
    <r>
      <rPr>
        <i/>
        <sz val="11"/>
        <color theme="1"/>
        <rFont val="Aptos Narrow"/>
        <family val="2"/>
        <scheme val="minor"/>
      </rPr>
      <t>WeekendString</t>
    </r>
    <r>
      <rPr>
        <sz val="11"/>
        <color theme="1"/>
        <rFont val="Aptos Narrow"/>
        <family val="2"/>
        <scheme val="minor"/>
      </rPr>
      <t>,</t>
    </r>
    <r>
      <rPr>
        <i/>
        <sz val="11"/>
        <color theme="1"/>
        <rFont val="Aptos Narrow"/>
        <family val="2"/>
        <scheme val="minor"/>
      </rPr>
      <t>HolidaysAsRange</t>
    </r>
    <r>
      <rPr>
        <sz val="11"/>
        <color theme="1"/>
        <rFont val="Aptos Narrow"/>
        <family val="2"/>
        <scheme val="minor"/>
      </rPr>
      <t>)</t>
    </r>
  </si>
  <si>
    <t>* 1 represents a non-workday and 0 represents a workday.</t>
  </si>
  <si>
    <t>* Must be 7 characters long.</t>
  </si>
  <si>
    <t>* Must be encased in quotes.</t>
  </si>
  <si>
    <r>
      <t xml:space="preserve">* For example, </t>
    </r>
    <r>
      <rPr>
        <b/>
        <sz val="11"/>
        <color theme="1"/>
        <rFont val="Aptos Narrow"/>
        <family val="2"/>
        <scheme val="minor"/>
      </rPr>
      <t>"0010001"</t>
    </r>
    <r>
      <rPr>
        <sz val="11"/>
        <color theme="1"/>
        <rFont val="Aptos Narrow"/>
        <family val="2"/>
        <scheme val="minor"/>
      </rPr>
      <t xml:space="preserve"> would result in a weekend that is </t>
    </r>
    <r>
      <rPr>
        <b/>
        <sz val="11"/>
        <color theme="1"/>
        <rFont val="Aptos Narrow"/>
        <family val="2"/>
        <scheme val="minor"/>
      </rPr>
      <t>Wednesday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Sunday</t>
    </r>
    <r>
      <rPr>
        <sz val="11"/>
        <color theme="1"/>
        <rFont val="Aptos Narrow"/>
        <family val="2"/>
        <scheme val="minor"/>
      </rPr>
      <t>.</t>
    </r>
  </si>
  <si>
    <t>Add Days to Date to Get Future Date</t>
  </si>
  <si>
    <t>Dates:</t>
  </si>
  <si>
    <t>Formulas:</t>
  </si>
  <si>
    <t>Subtract Days from Date to Get Past Date</t>
  </si>
  <si>
    <t>When was the loan issued?</t>
  </si>
  <si>
    <t>Date:</t>
  </si>
  <si>
    <t>Payroll Time Calculations</t>
  </si>
  <si>
    <t>Employee</t>
  </si>
  <si>
    <t>Hourly Wage ($)</t>
  </si>
  <si>
    <t>Start Time</t>
  </si>
  <si>
    <t>End Time</t>
  </si>
  <si>
    <t>Hours Worked</t>
  </si>
  <si>
    <t>Gross Pay ($)</t>
  </si>
  <si>
    <t>Note:</t>
  </si>
  <si>
    <r>
      <rPr>
        <sz val="11"/>
        <color theme="1"/>
        <rFont val="Wingdings"/>
        <charset val="2"/>
      </rPr>
      <t>é</t>
    </r>
    <r>
      <rPr>
        <sz val="11"/>
        <color theme="1"/>
        <rFont val="Aptos Narrow"/>
        <family val="2"/>
        <scheme val="minor"/>
      </rPr>
      <t xml:space="preserve"> Number hours between two time values =</t>
    </r>
  </si>
  <si>
    <t>(EndTime - StartTime)*24</t>
  </si>
  <si>
    <t>Day</t>
  </si>
  <si>
    <t>MONDAY</t>
  </si>
  <si>
    <t>TUESDAY</t>
  </si>
  <si>
    <t>WEDNESDAY</t>
  </si>
  <si>
    <t>THURSDAY</t>
  </si>
  <si>
    <t>FRIDAY</t>
  </si>
  <si>
    <t>TOTAL HOURS</t>
  </si>
  <si>
    <t>Total Hours:</t>
  </si>
  <si>
    <t>Night Shift Time Calculations</t>
  </si>
  <si>
    <t>Hours Worked:</t>
  </si>
  <si>
    <t>MOD(n, d) = n - d*INT(n/d)</t>
  </si>
  <si>
    <t>n</t>
  </si>
  <si>
    <t>EndTime - StartTime</t>
  </si>
  <si>
    <t>d</t>
  </si>
  <si>
    <t>n - d*INT(n/d)</t>
  </si>
  <si>
    <t>How Mod works:</t>
  </si>
  <si>
    <t>https://www.youtube.com/watch?v=VcgSkLpgo6o</t>
  </si>
  <si>
    <t>Excel Magic Trick 1206: Day &amp; Night Shift Time Calculations: Add Total Hours Single Cell Formula</t>
  </si>
  <si>
    <t>Today</t>
  </si>
  <si>
    <t>Invoice Due Date</t>
  </si>
  <si>
    <t>Keyboard for today's date: Ctrl + ;</t>
  </si>
  <si>
    <r>
      <rPr>
        <b/>
        <sz val="11"/>
        <color theme="1"/>
        <rFont val="Aptos Narrow"/>
        <family val="2"/>
        <scheme val="minor"/>
      </rPr>
      <t>Important Formula</t>
    </r>
    <r>
      <rPr>
        <sz val="11"/>
        <color theme="1"/>
        <rFont val="Aptos Narrow"/>
        <family val="2"/>
        <scheme val="minor"/>
      </rPr>
      <t xml:space="preserve">: Days between dates = </t>
    </r>
    <r>
      <rPr>
        <b/>
        <sz val="11"/>
        <color theme="1"/>
        <rFont val="Aptos Narrow"/>
        <family val="2"/>
        <scheme val="minor"/>
      </rPr>
      <t>Later Date - Earlier Date</t>
    </r>
  </si>
  <si>
    <t>Days Past Due</t>
  </si>
  <si>
    <t>How does that work?</t>
  </si>
  <si>
    <t>which is the number of days since Dec, 31, 1899.   1/1/1900 = 1, 1/2/1900 = 2</t>
  </si>
  <si>
    <t>General Number Format Keyboard = Ctrl + Shift + ~ / `</t>
  </si>
  <si>
    <t>Examples of Dates:</t>
  </si>
  <si>
    <t>Date</t>
  </si>
  <si>
    <t>Dates in Excel:</t>
  </si>
  <si>
    <t>12/31/1899</t>
  </si>
  <si>
    <t>7/4/1776</t>
  </si>
  <si>
    <t>Text</t>
  </si>
  <si>
    <t>Serial Number</t>
  </si>
  <si>
    <t>There are Many Number Formats for Dates:</t>
  </si>
  <si>
    <t>How many days of vacation, including 1st day?</t>
  </si>
  <si>
    <t>Check:</t>
  </si>
  <si>
    <t>Count Workdays (difference between dates, while skipping some days)</t>
  </si>
  <si>
    <t>What is end date for project (1st day IS included)?
(Fri. &amp; Sat. non-workdays)</t>
  </si>
  <si>
    <r>
      <rPr>
        <sz val="11"/>
        <color theme="1"/>
        <rFont val="Aptos Narrow"/>
        <family val="2"/>
        <scheme val="minor"/>
      </rPr>
      <t xml:space="preserve">Calculate future date by adding days
= </t>
    </r>
    <r>
      <rPr>
        <b/>
        <sz val="11"/>
        <color theme="1"/>
        <rFont val="Aptos Narrow"/>
        <family val="2"/>
        <scheme val="minor"/>
      </rPr>
      <t>StartDate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NumberOfDays</t>
    </r>
  </si>
  <si>
    <r>
      <t xml:space="preserve">Calculate future date by adding days
= </t>
    </r>
    <r>
      <rPr>
        <b/>
        <sz val="11"/>
        <color theme="1"/>
        <rFont val="Aptos Narrow"/>
        <family val="2"/>
        <scheme val="minor"/>
      </rPr>
      <t>StartDate</t>
    </r>
    <r>
      <rPr>
        <sz val="11"/>
        <color theme="1"/>
        <rFont val="Aptos Narrow"/>
        <family val="2"/>
        <scheme val="minor"/>
      </rPr>
      <t xml:space="preserve"> - </t>
    </r>
    <r>
      <rPr>
        <b/>
        <sz val="11"/>
        <color theme="1"/>
        <rFont val="Aptos Narrow"/>
        <family val="2"/>
        <scheme val="minor"/>
      </rPr>
      <t>NumberOfDays</t>
    </r>
  </si>
  <si>
    <t>What day is invoice due, if it is due on the same day, two months ahead?</t>
  </si>
  <si>
    <t>What day is invoice due, if it is due at the end of next month?</t>
  </si>
  <si>
    <r>
      <t xml:space="preserve">Calculate future date by adding number of months with:
</t>
    </r>
    <r>
      <rPr>
        <b/>
        <sz val="11"/>
        <color theme="1"/>
        <rFont val="Aptos Narrow"/>
        <family val="2"/>
        <scheme val="minor"/>
      </rPr>
      <t>=EDATE(StartDate,NumberOfMonths)</t>
    </r>
  </si>
  <si>
    <r>
      <t xml:space="preserve">Calculate end of month date with:
</t>
    </r>
    <r>
      <rPr>
        <b/>
        <sz val="11"/>
        <color theme="1"/>
        <rFont val="Aptos Narrow"/>
        <family val="2"/>
        <scheme val="minor"/>
      </rPr>
      <t>=EOMONTH(StartDate,NumberOfMonths)</t>
    </r>
  </si>
  <si>
    <t>Start
Date</t>
  </si>
  <si>
    <t>Year</t>
  </si>
  <si>
    <t>Month</t>
  </si>
  <si>
    <t>Year, Month, Day from Date Serial Number</t>
  </si>
  <si>
    <t>Day Name?</t>
  </si>
  <si>
    <t>Month Name?</t>
  </si>
  <si>
    <t>YEAR creates the year as a number from a Serial Number Date</t>
  </si>
  <si>
    <t>MONTH creates the month as a number from a Serial Number Date</t>
  </si>
  <si>
    <t>DAY creates the day as a number from a Serial Number Date</t>
  </si>
  <si>
    <r>
      <t xml:space="preserve">Number Formatting Code: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= month,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= day,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year</t>
    </r>
  </si>
  <si>
    <r>
      <t xml:space="preserve">Such as: </t>
    </r>
    <r>
      <rPr>
        <b/>
        <sz val="11"/>
        <color theme="1"/>
        <rFont val="Aptos Narrow"/>
        <family val="2"/>
        <scheme val="minor"/>
      </rPr>
      <t>ddd, m/d/yyy</t>
    </r>
    <r>
      <rPr>
        <sz val="11"/>
        <color theme="1"/>
        <rFont val="Aptos Narrow"/>
        <family val="2"/>
        <scheme val="minor"/>
      </rPr>
      <t xml:space="preserve"> to show </t>
    </r>
    <r>
      <rPr>
        <b/>
        <sz val="11"/>
        <color theme="1"/>
        <rFont val="Aptos Narrow"/>
        <family val="2"/>
        <scheme val="minor"/>
      </rPr>
      <t>Sun, 11/17/2024</t>
    </r>
  </si>
  <si>
    <t>TEXT converts a number to text based on Number Formatting Code.</t>
  </si>
  <si>
    <t>For each function months can be:
  positive (jump into future),
  zero (same month as StartDate)
  negative (jump into past)</t>
  </si>
  <si>
    <t>Keyboard for today's time: Ctrl + Shift + ;</t>
  </si>
  <si>
    <r>
      <t xml:space="preserve">In USA enter dates like: </t>
    </r>
    <r>
      <rPr>
        <b/>
        <sz val="11"/>
        <color theme="1"/>
        <rFont val="Aptos Narrow"/>
        <family val="2"/>
        <scheme val="minor"/>
      </rPr>
      <t>Month/Day/Year or Month-Day-Year</t>
    </r>
  </si>
  <si>
    <t>* weekend argument you can create any pattern of workdays / non-workdays.</t>
  </si>
  <si>
    <t>Current Time</t>
  </si>
  <si>
    <t>#######################</t>
  </si>
  <si>
    <t>Column not wide enough</t>
  </si>
  <si>
    <t>Text because it is before the first day that Excel recognizes as a date value.</t>
  </si>
  <si>
    <t>Enter significant digits only for time values like:   8 a   for 8 AM, and Excel understands it is a time value</t>
  </si>
  <si>
    <r>
      <rPr>
        <b/>
        <sz val="11"/>
        <color theme="1"/>
        <rFont val="Aptos Narrow"/>
        <family val="2"/>
        <scheme val="minor"/>
      </rPr>
      <t>Q:</t>
    </r>
    <r>
      <rPr>
        <sz val="11"/>
        <color theme="1"/>
        <rFont val="Aptos Narrow"/>
        <family val="2"/>
        <scheme val="minor"/>
      </rPr>
      <t xml:space="preserve"> But what is actually in the cell, when you enter a time value?</t>
    </r>
  </si>
  <si>
    <r>
      <rPr>
        <b/>
        <sz val="11"/>
        <color theme="1"/>
        <rFont val="Aptos Narrow"/>
        <family val="2"/>
        <scheme val="minor"/>
      </rPr>
      <t>A:</t>
    </r>
    <r>
      <rPr>
        <sz val="11"/>
        <color theme="1"/>
        <rFont val="Aptos Narrow"/>
        <family val="2"/>
        <scheme val="minor"/>
      </rPr>
      <t xml:space="preserve"> The proporation of a 24 hour day.</t>
    </r>
  </si>
  <si>
    <t>Type 8 a,
Ctrl + Enter,
Ctrl + Shift + ~/`</t>
  </si>
  <si>
    <t>Type 8 a,
Enter</t>
  </si>
  <si>
    <t>Type formula =8/24,
Ctrl + Enter,
Apply Time Number Format</t>
  </si>
  <si>
    <t>The proportion of 8 hours to 24 hours in day with Time Number Formatting applied</t>
  </si>
  <si>
    <t>Description</t>
  </si>
  <si>
    <t>Time Value</t>
  </si>
  <si>
    <r>
      <rPr>
        <b/>
        <sz val="11"/>
        <color theme="1"/>
        <rFont val="Aptos Narrow"/>
        <family val="2"/>
        <scheme val="minor"/>
      </rPr>
      <t>Q:</t>
    </r>
    <r>
      <rPr>
        <sz val="11"/>
        <color theme="1"/>
        <rFont val="Aptos Narrow"/>
        <family val="2"/>
        <scheme val="minor"/>
      </rPr>
      <t xml:space="preserve"> How to calculate hours between two dates when Excel divides time value by 24?</t>
    </r>
  </si>
  <si>
    <r>
      <rPr>
        <b/>
        <sz val="11"/>
        <color theme="1"/>
        <rFont val="Aptos Narrow"/>
        <family val="2"/>
        <scheme val="minor"/>
      </rPr>
      <t>A:</t>
    </r>
    <r>
      <rPr>
        <sz val="11"/>
        <color theme="1"/>
        <rFont val="Aptos Narrow"/>
        <family val="2"/>
        <scheme val="minor"/>
      </rPr>
      <t xml:space="preserve"> Multiply by 24 to get decimal back up to an hour unit, like: (End Time - Start Time)*24</t>
    </r>
  </si>
  <si>
    <t>Time In (Start)</t>
  </si>
  <si>
    <t>Time Out (End)</t>
  </si>
  <si>
    <t>Remember: Ctrl + Shift + ~/` to remove Time Number Format</t>
  </si>
  <si>
    <t>What Excel did behind the scenes when you entered 8:00 AM is: 8 /24 = 1/3 = 0.333…</t>
  </si>
  <si>
    <t>Date Custom Number Format :</t>
  </si>
  <si>
    <t>d = day</t>
  </si>
  <si>
    <t>m = month</t>
  </si>
  <si>
    <t>y = year</t>
  </si>
  <si>
    <t>Separators allowed: /, -</t>
  </si>
  <si>
    <t>Date Custom Number Format</t>
  </si>
  <si>
    <t>What Number Format Shows</t>
  </si>
  <si>
    <t>Day number</t>
  </si>
  <si>
    <t>dd</t>
  </si>
  <si>
    <t>Day number with lead zero</t>
  </si>
  <si>
    <t>ddd</t>
  </si>
  <si>
    <t>3 letter day</t>
  </si>
  <si>
    <t>dddd</t>
  </si>
  <si>
    <t>Full day name</t>
  </si>
  <si>
    <t>m</t>
  </si>
  <si>
    <t>Month number</t>
  </si>
  <si>
    <t>mm</t>
  </si>
  <si>
    <t>Month number with lead zero</t>
  </si>
  <si>
    <t>mmm</t>
  </si>
  <si>
    <t>3 letter month</t>
  </si>
  <si>
    <t>mmmm</t>
  </si>
  <si>
    <t>Full month name</t>
  </si>
  <si>
    <t>y</t>
  </si>
  <si>
    <t>Last 2 digits of year</t>
  </si>
  <si>
    <t>yy</t>
  </si>
  <si>
    <t>yyy</t>
  </si>
  <si>
    <t>4 digit year</t>
  </si>
  <si>
    <t>yyyy</t>
  </si>
  <si>
    <t>m/d/yyy</t>
  </si>
  <si>
    <t>Forward slash ok</t>
  </si>
  <si>
    <t>m-d-yyy</t>
  </si>
  <si>
    <t>Dash ok</t>
  </si>
  <si>
    <t>ddd, m/d/yy</t>
  </si>
  <si>
    <t>Comma ok</t>
  </si>
  <si>
    <t>Time Custom Number Format :</t>
  </si>
  <si>
    <t>h = hour</t>
  </si>
  <si>
    <t>m = minute</t>
  </si>
  <si>
    <t>s = seconds</t>
  </si>
  <si>
    <t>: (colon) separates parts of time value</t>
  </si>
  <si>
    <t>Type Space and then AM or PM</t>
  </si>
  <si>
    <t>Leave out AM or PM, Military time is displayed</t>
  </si>
  <si>
    <t>[hh] shows hours past 24 hours</t>
  </si>
  <si>
    <t>Time with Time Number Format</t>
  </si>
  <si>
    <t>Time Custom Number Format</t>
  </si>
  <si>
    <t>Serial Number Under the Time</t>
  </si>
  <si>
    <t>h:mm AM/PM</t>
  </si>
  <si>
    <t>hh:mm AM/PM</t>
  </si>
  <si>
    <t>h:mm:ss AM/PM</t>
  </si>
  <si>
    <t>h:mm</t>
  </si>
  <si>
    <t>hh:mm:ss</t>
  </si>
  <si>
    <t>h AM/PM</t>
  </si>
  <si>
    <t>m/d/yy h:mm</t>
  </si>
  <si>
    <t>m/d/yy h:mm AM/PM</t>
  </si>
  <si>
    <t>[hh]:mm:ss</t>
  </si>
  <si>
    <t>[hh]:mm</t>
  </si>
  <si>
    <t>First day that Excel understands</t>
  </si>
  <si>
    <t>Second day that Excel understands</t>
  </si>
  <si>
    <t>#### tells you that the column not wide enough to display Date with Number Formatting</t>
  </si>
  <si>
    <t>Shardae Long</t>
  </si>
  <si>
    <t>* Assume we will use this formula result later</t>
  </si>
  <si>
    <t>** 10/60 = 1/6 = 0.66…  Time Value is not required to be rounded.</t>
  </si>
  <si>
    <t>Wage per hour:</t>
  </si>
  <si>
    <t>Gross Pay:</t>
  </si>
  <si>
    <t>Do not round times: keep all the decimals.</t>
  </si>
  <si>
    <t>Time In (Start1)</t>
  </si>
  <si>
    <t>Time Out (End1)</t>
  </si>
  <si>
    <t>Time In (Start2)</t>
  </si>
  <si>
    <t>Time Out (End2)</t>
  </si>
  <si>
    <t>Do not round hours</t>
  </si>
  <si>
    <t>Round Money</t>
  </si>
  <si>
    <t xml:space="preserve">Number hours when there is a lunch break = </t>
  </si>
  <si>
    <r>
      <rPr>
        <b/>
        <sz val="11"/>
        <color theme="1"/>
        <rFont val="Aptos Narrow"/>
        <family val="2"/>
        <scheme val="minor"/>
      </rPr>
      <t>(EndTime1 - StartTime1 + EndTime2 - StartTime2)*24</t>
    </r>
    <r>
      <rPr>
        <sz val="11"/>
        <color theme="1"/>
        <rFont val="Aptos Narrow"/>
        <family val="2"/>
        <scheme val="minor"/>
      </rPr>
      <t xml:space="preserve">   </t>
    </r>
    <r>
      <rPr>
        <sz val="11"/>
        <color theme="1"/>
        <rFont val="Wingdings"/>
        <charset val="2"/>
      </rPr>
      <t>ê</t>
    </r>
    <r>
      <rPr>
        <sz val="11"/>
        <color theme="1"/>
        <rFont val="Aptos Narrow"/>
        <family val="2"/>
        <scheme val="minor"/>
      </rPr>
      <t xml:space="preserve"> </t>
    </r>
  </si>
  <si>
    <t>Lunch Break</t>
  </si>
  <si>
    <t>StartTime</t>
  </si>
  <si>
    <t>EndTime1</t>
  </si>
  <si>
    <t>StartTime2</t>
  </si>
  <si>
    <t>EndTime2</t>
  </si>
  <si>
    <t>Start Date</t>
  </si>
  <si>
    <t>For payroll, you need to round to the penny.</t>
  </si>
  <si>
    <t>Calculate Gross Pay</t>
  </si>
  <si>
    <r>
      <t xml:space="preserve">Number hours between two time values
= </t>
    </r>
    <r>
      <rPr>
        <b/>
        <sz val="11"/>
        <color theme="1"/>
        <rFont val="Aptos Narrow"/>
        <family val="2"/>
        <scheme val="minor"/>
      </rPr>
      <t>(EndTime - StartTime)*24</t>
    </r>
    <r>
      <rPr>
        <sz val="11"/>
        <color theme="1"/>
        <rFont val="Aptos Narrow"/>
        <family val="2"/>
        <scheme val="minor"/>
      </rPr>
      <t>. Do not round hours.</t>
    </r>
  </si>
  <si>
    <t>Calculate Gross Pay with Lunch Break:</t>
  </si>
  <si>
    <t>Hour Wage ($)</t>
  </si>
  <si>
    <r>
      <t xml:space="preserve">How many Working Days
</t>
    </r>
    <r>
      <rPr>
        <b/>
        <sz val="11"/>
        <color theme="1"/>
        <rFont val="Aptos Narrow"/>
        <family val="2"/>
        <scheme val="minor"/>
      </rPr>
      <t>=NETWORKDAYS.INTL(
                      StartDate,EndDate,WeekendNumber,HolidaysAsRange)</t>
    </r>
  </si>
  <si>
    <r>
      <t xml:space="preserve">Difference between dates, not including 1st day =
</t>
    </r>
    <r>
      <rPr>
        <b/>
        <sz val="11"/>
        <color theme="1"/>
        <rFont val="Aptos Narrow"/>
        <family val="2"/>
        <scheme val="minor"/>
      </rPr>
      <t>EndDate</t>
    </r>
    <r>
      <rPr>
        <sz val="11"/>
        <color theme="1"/>
        <rFont val="Aptos Narrow"/>
        <family val="2"/>
        <scheme val="minor"/>
      </rPr>
      <t xml:space="preserve"> - </t>
    </r>
    <r>
      <rPr>
        <b/>
        <sz val="11"/>
        <color theme="1"/>
        <rFont val="Aptos Narrow"/>
        <family val="2"/>
        <scheme val="minor"/>
      </rPr>
      <t>StartDate</t>
    </r>
  </si>
  <si>
    <r>
      <t xml:space="preserve">Difference between dates, including 1st day
 = </t>
    </r>
    <r>
      <rPr>
        <b/>
        <sz val="11"/>
        <color theme="1"/>
        <rFont val="Aptos Narrow"/>
        <family val="2"/>
        <scheme val="minor"/>
      </rPr>
      <t>EndDate</t>
    </r>
    <r>
      <rPr>
        <sz val="11"/>
        <color theme="1"/>
        <rFont val="Aptos Narrow"/>
        <family val="2"/>
        <scheme val="minor"/>
      </rPr>
      <t xml:space="preserve"> - </t>
    </r>
    <r>
      <rPr>
        <b/>
        <sz val="11"/>
        <color theme="1"/>
        <rFont val="Aptos Narrow"/>
        <family val="2"/>
        <scheme val="minor"/>
      </rPr>
      <t>StartDate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1</t>
    </r>
  </si>
  <si>
    <r>
      <t xml:space="preserve">Number hours when there is a lunch break
= </t>
    </r>
    <r>
      <rPr>
        <b/>
        <sz val="11"/>
        <color theme="1"/>
        <rFont val="Aptos Narrow"/>
        <family val="2"/>
        <scheme val="minor"/>
      </rPr>
      <t>(EndTime1 - StartTime1 + EndTime2 - StartTime2)*24</t>
    </r>
    <r>
      <rPr>
        <sz val="11"/>
        <color theme="1"/>
        <rFont val="Aptos Narrow"/>
        <family val="2"/>
        <scheme val="minor"/>
      </rPr>
      <t>.    Do not round hours.</t>
    </r>
  </si>
  <si>
    <r>
      <rPr>
        <b/>
        <sz val="11"/>
        <color theme="1"/>
        <rFont val="Aptos Narrow"/>
        <family val="2"/>
        <scheme val="minor"/>
      </rPr>
      <t xml:space="preserve">Goal: </t>
    </r>
    <r>
      <rPr>
        <sz val="11"/>
        <color theme="1"/>
        <rFont val="Aptos Narrow"/>
        <family val="2"/>
        <scheme val="minor"/>
      </rPr>
      <t>Create a formula in cell G5 that calculates number of days it took to pay the invoice and that will spill down the column.</t>
    </r>
  </si>
  <si>
    <t>Customer</t>
  </si>
  <si>
    <t>Invoice #</t>
  </si>
  <si>
    <t>Amount Owed</t>
  </si>
  <si>
    <t>Invoice Issue Date</t>
  </si>
  <si>
    <t>Invoice Pay Date</t>
  </si>
  <si>
    <t>Number Days To Pay Invoice</t>
  </si>
  <si>
    <t>Rafaela Sparkman</t>
  </si>
  <si>
    <t>Providencia Esposito</t>
  </si>
  <si>
    <t>Adrien Dougherty</t>
  </si>
  <si>
    <t>Marvis Block</t>
  </si>
  <si>
    <t>Drucilla Ragsdale</t>
  </si>
  <si>
    <t>Senaida Battles</t>
  </si>
  <si>
    <t>Ossie Kimbrough</t>
  </si>
  <si>
    <t>Elwood Koehler</t>
  </si>
  <si>
    <t>Corliss Coffin</t>
  </si>
  <si>
    <t>Claudette Barela</t>
  </si>
  <si>
    <t>Goals:</t>
  </si>
  <si>
    <t>Create a formula in cell G5 that calculates</t>
  </si>
  <si>
    <t>the number of days it took to pay the</t>
  </si>
  <si>
    <t>invoice and that will spill down the</t>
  </si>
  <si>
    <t>column.</t>
  </si>
  <si>
    <r>
      <rPr>
        <b/>
        <sz val="11"/>
        <color theme="1"/>
        <rFont val="Aptos Narrow"/>
        <family val="2"/>
        <scheme val="minor"/>
      </rPr>
      <t>Goal:</t>
    </r>
    <r>
      <rPr>
        <sz val="11"/>
        <color theme="1"/>
        <rFont val="Aptos Narrow"/>
        <family val="2"/>
        <scheme val="minor"/>
      </rPr>
      <t xml:space="preserve"> In cell E5, create a formula to calcualte the number of days to complete each project.</t>
    </r>
  </si>
  <si>
    <t>Project Address</t>
  </si>
  <si>
    <t>Projected Start Date</t>
  </si>
  <si>
    <t>Projected End Date</t>
  </si>
  <si>
    <t>Number Of Days to Complete Project</t>
  </si>
  <si>
    <t>9664 SE. Thomas St. </t>
  </si>
  <si>
    <t>92 Middle River Ave. </t>
  </si>
  <si>
    <t>7275 Belmont Lane </t>
  </si>
  <si>
    <t>9504 Grand St. </t>
  </si>
  <si>
    <t>8016 Applegate Court </t>
  </si>
  <si>
    <t>8 Canal Ave. </t>
  </si>
  <si>
    <t>28 Green Hill Lane </t>
  </si>
  <si>
    <t>26 West Purple Finch Ave. </t>
  </si>
  <si>
    <t>180 Augusta Ave. </t>
  </si>
  <si>
    <t>77 S. Sleepy Hollow Drive </t>
  </si>
  <si>
    <t>In cell E5, create a formula to</t>
  </si>
  <si>
    <t>calcualte the number of days to</t>
  </si>
  <si>
    <t>complete each project.</t>
  </si>
  <si>
    <t>Goal #1:</t>
  </si>
  <si>
    <t>Using one of Excel's Date Functions, calculate the Due Date if the invoice</t>
  </si>
  <si>
    <t>contract says that the amount is due on the same day, two month's ahead.</t>
  </si>
  <si>
    <t>InvoiceDate</t>
  </si>
  <si>
    <t>Due Date</t>
  </si>
  <si>
    <t>Goal #2:</t>
  </si>
  <si>
    <t>Using one of Excel's Date Functions, calculate the Due Date if the</t>
  </si>
  <si>
    <t>invoice contract says that the amount is due at the end of the month.</t>
  </si>
  <si>
    <r>
      <rPr>
        <b/>
        <sz val="11"/>
        <color theme="1"/>
        <rFont val="Aptos Narrow"/>
        <family val="2"/>
        <scheme val="minor"/>
      </rPr>
      <t>Goal:</t>
    </r>
    <r>
      <rPr>
        <sz val="11"/>
        <color theme="1"/>
        <rFont val="Aptos Narrow"/>
        <family val="2"/>
        <scheme val="minor"/>
      </rPr>
      <t xml:space="preserve"> Create the formulas for the following columns: Hours Worked, Gross Pay, Deduction, and Day's Pay</t>
    </r>
  </si>
  <si>
    <t>Tax Rate</t>
  </si>
  <si>
    <t>Wage</t>
  </si>
  <si>
    <t>Time In</t>
  </si>
  <si>
    <t>Time Out</t>
  </si>
  <si>
    <t>Gross Pay</t>
  </si>
  <si>
    <t>Deduction</t>
  </si>
  <si>
    <t>Day's Pay</t>
  </si>
  <si>
    <t>Carroll  Stanley</t>
  </si>
  <si>
    <t>Anne  Ramos</t>
  </si>
  <si>
    <t>Blanche  Sanchez</t>
  </si>
  <si>
    <t>Karla  Fletcher</t>
  </si>
  <si>
    <t>Devin  Smith</t>
  </si>
  <si>
    <t>Edna  Hansen</t>
  </si>
  <si>
    <t>Moses  Swanson</t>
  </si>
  <si>
    <t>Sherman  Moss</t>
  </si>
  <si>
    <t>Amber  Rios</t>
  </si>
  <si>
    <t>Lindsey  Powers</t>
  </si>
  <si>
    <t>Date and Time Formulas:</t>
  </si>
  <si>
    <t>When you type a date, an automatic Date Number Format is applied on top of a Date Serial Number,</t>
  </si>
  <si>
    <t>Count:</t>
  </si>
  <si>
    <r>
      <t xml:space="preserve">Determine future date while excluding weekends and holidays (1st day included)
</t>
    </r>
    <r>
      <rPr>
        <b/>
        <sz val="11"/>
        <color theme="1"/>
        <rFont val="Aptos Narrow"/>
        <family val="2"/>
        <scheme val="minor"/>
      </rPr>
      <t>=WORKDAY.INTL(StartDate-1,NumberWorkDays, WeekendNumber,HolidayAsRange)</t>
    </r>
  </si>
  <si>
    <r>
      <t xml:space="preserve">Determine past date while excluding weekends and holidays (1st day included)
</t>
    </r>
    <r>
      <rPr>
        <b/>
        <sz val="11"/>
        <color theme="1"/>
        <rFont val="Aptos Narrow"/>
        <family val="2"/>
        <scheme val="minor"/>
      </rPr>
      <t>=WORKDAY.INTL(StartDate+1,NumberWorkDays, WeekendNumber,HolidayAsRange)</t>
    </r>
  </si>
  <si>
    <t>Move a Date a Number Months Forward or Backwards</t>
  </si>
  <si>
    <t>Military time: don't type AM/PM</t>
  </si>
  <si>
    <t>5:15 PM</t>
  </si>
  <si>
    <r>
      <t xml:space="preserve">Enter times like: </t>
    </r>
    <r>
      <rPr>
        <b/>
        <sz val="11"/>
        <color theme="1"/>
        <rFont val="Aptos Narrow"/>
        <family val="2"/>
        <scheme val="minor"/>
      </rPr>
      <t xml:space="preserve">hh:mm:ss AM/PM </t>
    </r>
    <r>
      <rPr>
        <sz val="11"/>
        <color theme="1"/>
        <rFont val="Aptos Narrow"/>
        <family val="2"/>
        <scheme val="minor"/>
      </rPr>
      <t>, As soon as you type a colon, Excel thinks that it is a time value.</t>
    </r>
  </si>
  <si>
    <t>Time</t>
  </si>
  <si>
    <t>Change Number Formatting</t>
  </si>
  <si>
    <r>
      <t xml:space="preserve">Number Formatting Code: </t>
    </r>
    <r>
      <rPr>
        <b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= hour,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= minute,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= second, separated by colon.</t>
    </r>
  </si>
  <si>
    <r>
      <t xml:space="preserve">Such as: </t>
    </r>
    <r>
      <rPr>
        <b/>
        <sz val="11"/>
        <color theme="1"/>
        <rFont val="Aptos Narrow"/>
        <family val="2"/>
        <scheme val="minor"/>
      </rPr>
      <t>h:mm AM</t>
    </r>
    <r>
      <rPr>
        <sz val="11"/>
        <color theme="1"/>
        <rFont val="Aptos Narrow"/>
        <family val="2"/>
        <scheme val="minor"/>
      </rPr>
      <t xml:space="preserve"> to show </t>
    </r>
    <r>
      <rPr>
        <b/>
        <sz val="11"/>
        <color theme="1"/>
        <rFont val="Aptos Narrow"/>
        <family val="2"/>
        <scheme val="minor"/>
      </rPr>
      <t>8:00 AM</t>
    </r>
    <r>
      <rPr>
        <sz val="11"/>
        <color theme="1"/>
        <rFont val="Aptos Narrow"/>
        <family val="2"/>
        <scheme val="minor"/>
      </rPr>
      <t xml:space="preserve">   or   h:mm to show </t>
    </r>
    <r>
      <rPr>
        <b/>
        <sz val="11"/>
        <color theme="1"/>
        <rFont val="Aptos Narrow"/>
        <family val="2"/>
        <scheme val="minor"/>
      </rPr>
      <t>20:00</t>
    </r>
    <r>
      <rPr>
        <sz val="11"/>
        <color theme="1"/>
        <rFont val="Aptos Narrow"/>
        <family val="2"/>
        <scheme val="minor"/>
      </rPr>
      <t xml:space="preserve"> for 8:00 PM</t>
    </r>
  </si>
  <si>
    <t>20:15:15</t>
  </si>
  <si>
    <t>8:15:15 PM</t>
  </si>
  <si>
    <t>8:00 AM</t>
  </si>
  <si>
    <t>Enter significant digits only for time values like:   5 p   for 5 PM, and Excel understands it is a time value</t>
  </si>
  <si>
    <t>Hours Worked on Night Shift = MOD(EndTime - StartTime,1)*24</t>
  </si>
  <si>
    <t>Hours Worked on Night Shift =
((EndTime-StartTime + (EndTime&lt;StartTime))*24</t>
  </si>
  <si>
    <t>If you are using date-time values, Hours Worked on Night Shift =
(EndDateTime - StartDateTime)*24</t>
  </si>
  <si>
    <t>Time Formulas for Payroll ….................................................................................................................................</t>
  </si>
  <si>
    <t>Time Formulas for Night Shift Payroll. Learn about Date-Time Values and the MOD function …......................................</t>
  </si>
  <si>
    <t>How Times work in Excel (Time Serial Numbers, Time Number Format and Time Formulas) …......................................</t>
  </si>
  <si>
    <t>Extract the year, month or day from date using the functions, YEAR, MONTH, DAY, and TEXT. Examples for a date table …</t>
  </si>
  <si>
    <t>Move date by a specified number of months with EDATE and EOMONTH functions. Examples with invoices ….................</t>
  </si>
  <si>
    <t>Subtract days from dates to get past date. Examples such as calculating the date that a project was started …................</t>
  </si>
  <si>
    <t>Add days to date to get future date. Learn about WORKDAY.INTL function. Examples: calculating loan due dates ….........</t>
  </si>
  <si>
    <t>Formulas to count workdays with NETWORKDAYS.INTL function …...........................................................................</t>
  </si>
  <si>
    <t>Formulas to calculate number of days between two dates, for invoices, loans and projects …......................................</t>
  </si>
  <si>
    <t>How Dates work in Excel (Date Serial Numbers, Date Number Format and Date Formulas) …......................................</t>
  </si>
  <si>
    <t>List of All 26 Date &amp; Time Formulas and Functions …..............................................................................................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</si>
</sst>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8" formatCode="&quot;$&quot;#,##0.00_);[Red]\(&quot;$&quot;#,##0.00\)"/>
    <numFmt numFmtId="164" formatCode="[$-409]h:mm\ AM/PM;@"/>
    <numFmt numFmtId="165" formatCode="ddd\,\ m/d/yy"/>
    <numFmt numFmtId="166" formatCode="ddd\,\ m/d/yyyy"/>
    <numFmt numFmtId="167" formatCode="&quot;$&quot;#,##0.00"/>
    <numFmt numFmtId="168" formatCode="[$-F800]dddd\,\ mmmm\ dd\,\ yyyy"/>
    <numFmt numFmtId="169" formatCode="m/d;@"/>
    <numFmt numFmtId="170" formatCode="[$-F400]h:mm:ss\ AM/PM"/>
    <numFmt numFmtId="171" formatCode="d"/>
    <numFmt numFmtId="172" formatCode="dd"/>
    <numFmt numFmtId="173" formatCode="ddd"/>
    <numFmt numFmtId="174" formatCode="dddd"/>
    <numFmt numFmtId="175" formatCode="m"/>
    <numFmt numFmtId="176" formatCode="mm"/>
    <numFmt numFmtId="177" formatCode="mmm"/>
    <numFmt numFmtId="178" formatCode="mmmm"/>
    <numFmt numFmtId="179" formatCode="yy"/>
    <numFmt numFmtId="180" formatCode="yyyy"/>
    <numFmt numFmtId="181" formatCode="m\-d\-yyyy"/>
    <numFmt numFmtId="182" formatCode="hh:mm\ AM/PM"/>
    <numFmt numFmtId="183" formatCode="hh:mm:ss"/>
    <numFmt numFmtId="184" formatCode="h\ AM/PM"/>
    <numFmt numFmtId="185" formatCode="m/d/yy\ h:mm\ AM/PM"/>
    <numFmt numFmtId="186" formatCode="[hh]:mm:ss"/>
    <numFmt numFmtId="187" formatCode="[hh]:mm"/>
    <numFmt numFmtId="188" formatCode="[$-409]d\-mmm\-yy;@"/>
    <numFmt numFmtId="189" formatCode="dddd\,\ m/d/yyyy"/>
    <numFmt numFmtId="190" formatCode="hh:mm:ss\ AM/PM"/>
    <numFmt numFmtId="191" formatCode="m/d/yyyy\ h:mm\ AM/PM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"/>
      <scheme val="minor"/>
    </font>
    <font>
      <sz val="11"/>
      <color theme="1"/>
      <name val="Wingdings"/>
      <charset val="2"/>
    </font>
    <font>
      <b/>
      <sz val="14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4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vertical="center"/>
    </xf>
    <xf numFmtId="0" fontId="0" fillId="3" borderId="1" xfId="0" applyFill="1" applyBorder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164" fontId="0" fillId="0" borderId="1" xfId="0" applyNumberFormat="1" applyBorder="1"/>
    <xf numFmtId="0" fontId="4" fillId="4" borderId="2" xfId="0" applyFont="1" applyFill="1" applyBorder="1" applyAlignment="1">
      <alignment horizontal="centerContinuous"/>
    </xf>
    <xf numFmtId="0" fontId="4" fillId="4" borderId="3" xfId="0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centerContinuous"/>
    </xf>
    <xf numFmtId="14" fontId="0" fillId="0" borderId="1" xfId="0" applyNumberFormat="1" applyBorder="1"/>
    <xf numFmtId="0" fontId="0" fillId="4" borderId="1" xfId="0" applyFill="1" applyBorder="1" applyAlignment="1">
      <alignment wrapText="1"/>
    </xf>
    <xf numFmtId="0" fontId="1" fillId="5" borderId="1" xfId="0" applyFont="1" applyFill="1" applyBorder="1"/>
    <xf numFmtId="0" fontId="0" fillId="0" borderId="1" xfId="0" applyBorder="1" applyAlignment="1">
      <alignment wrapText="1"/>
    </xf>
    <xf numFmtId="166" fontId="0" fillId="0" borderId="1" xfId="0" applyNumberFormat="1" applyBorder="1"/>
    <xf numFmtId="0" fontId="2" fillId="0" borderId="13" xfId="0" applyFont="1" applyBorder="1"/>
    <xf numFmtId="0" fontId="0" fillId="4" borderId="5" xfId="0" quotePrefix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left" indent="2"/>
    </xf>
    <xf numFmtId="0" fontId="0" fillId="4" borderId="0" xfId="0" applyFill="1"/>
    <xf numFmtId="0" fontId="0" fillId="4" borderId="9" xfId="0" applyFill="1" applyBorder="1"/>
    <xf numFmtId="166" fontId="0" fillId="0" borderId="0" xfId="0" applyNumberFormat="1"/>
    <xf numFmtId="0" fontId="0" fillId="4" borderId="10" xfId="0" applyFill="1" applyBorder="1" applyAlignment="1">
      <alignment horizontal="left" indent="2"/>
    </xf>
    <xf numFmtId="0" fontId="0" fillId="4" borderId="11" xfId="0" applyFill="1" applyBorder="1"/>
    <xf numFmtId="0" fontId="0" fillId="4" borderId="12" xfId="0" applyFill="1" applyBorder="1"/>
    <xf numFmtId="14" fontId="0" fillId="0" borderId="0" xfId="0" applyNumberFormat="1"/>
    <xf numFmtId="0" fontId="6" fillId="0" borderId="0" xfId="0" applyFont="1" applyAlignment="1">
      <alignment horizontal="left" wrapText="1" indent="3"/>
    </xf>
    <xf numFmtId="0" fontId="1" fillId="2" borderId="1" xfId="0" applyFont="1" applyFill="1" applyBorder="1" applyAlignment="1">
      <alignment wrapText="1"/>
    </xf>
    <xf numFmtId="0" fontId="8" fillId="4" borderId="2" xfId="0" applyFont="1" applyFill="1" applyBorder="1" applyAlignment="1">
      <alignment horizontal="centerContinuous"/>
    </xf>
    <xf numFmtId="0" fontId="8" fillId="4" borderId="3" xfId="0" applyFont="1" applyFill="1" applyBorder="1" applyAlignment="1">
      <alignment horizontal="centerContinuous"/>
    </xf>
    <xf numFmtId="0" fontId="8" fillId="4" borderId="4" xfId="0" applyFont="1" applyFill="1" applyBorder="1" applyAlignment="1">
      <alignment horizontal="centerContinuous"/>
    </xf>
    <xf numFmtId="0" fontId="3" fillId="2" borderId="1" xfId="0" applyFont="1" applyFill="1" applyBorder="1"/>
    <xf numFmtId="18" fontId="0" fillId="0" borderId="1" xfId="0" applyNumberFormat="1" applyBorder="1"/>
    <xf numFmtId="0" fontId="2" fillId="0" borderId="0" xfId="0" applyFont="1" applyAlignment="1">
      <alignment horizontal="right"/>
    </xf>
    <xf numFmtId="0" fontId="6" fillId="4" borderId="5" xfId="0" applyFont="1" applyFill="1" applyBorder="1"/>
    <xf numFmtId="0" fontId="9" fillId="0" borderId="1" xfId="0" applyFont="1" applyBorder="1"/>
    <xf numFmtId="0" fontId="9" fillId="0" borderId="0" xfId="0" applyFont="1"/>
    <xf numFmtId="0" fontId="9" fillId="6" borderId="1" xfId="0" applyFont="1" applyFill="1" applyBorder="1"/>
    <xf numFmtId="0" fontId="0" fillId="4" borderId="1" xfId="0" quotePrefix="1" applyFill="1" applyBorder="1" applyAlignment="1">
      <alignment wrapText="1"/>
    </xf>
    <xf numFmtId="0" fontId="11" fillId="0" borderId="0" xfId="1"/>
    <xf numFmtId="0" fontId="3" fillId="2" borderId="2" xfId="0" applyFont="1" applyFill="1" applyBorder="1"/>
    <xf numFmtId="0" fontId="3" fillId="2" borderId="4" xfId="0" applyFont="1" applyFill="1" applyBorder="1"/>
    <xf numFmtId="0" fontId="3" fillId="5" borderId="1" xfId="0" applyFont="1" applyFill="1" applyBorder="1"/>
    <xf numFmtId="167" fontId="0" fillId="0" borderId="1" xfId="0" applyNumberFormat="1" applyBorder="1"/>
    <xf numFmtId="0" fontId="2" fillId="4" borderId="5" xfId="0" applyFont="1" applyFill="1" applyBorder="1"/>
    <xf numFmtId="0" fontId="0" fillId="4" borderId="8" xfId="0" applyFill="1" applyBorder="1"/>
    <xf numFmtId="168" fontId="0" fillId="0" borderId="1" xfId="0" applyNumberFormat="1" applyBorder="1"/>
    <xf numFmtId="169" fontId="0" fillId="0" borderId="1" xfId="0" applyNumberFormat="1" applyBorder="1"/>
    <xf numFmtId="0" fontId="0" fillId="4" borderId="10" xfId="0" applyFill="1" applyBorder="1" applyAlignment="1">
      <alignment horizontal="left" indent="1"/>
    </xf>
    <xf numFmtId="14" fontId="0" fillId="0" borderId="2" xfId="0" applyNumberFormat="1" applyBorder="1"/>
    <xf numFmtId="0" fontId="1" fillId="2" borderId="2" xfId="0" applyFont="1" applyFill="1" applyBorder="1"/>
    <xf numFmtId="0" fontId="0" fillId="0" borderId="0" xfId="0" applyAlignment="1">
      <alignment horizontal="left" indent="3"/>
    </xf>
    <xf numFmtId="14" fontId="0" fillId="3" borderId="1" xfId="0" applyNumberFormat="1" applyFill="1" applyBorder="1"/>
    <xf numFmtId="0" fontId="6" fillId="0" borderId="0" xfId="0" applyFont="1" applyAlignment="1">
      <alignment wrapText="1"/>
    </xf>
    <xf numFmtId="0" fontId="0" fillId="0" borderId="1" xfId="0" applyBorder="1" applyAlignment="1">
      <alignment horizontal="left" wrapText="1"/>
    </xf>
    <xf numFmtId="19" fontId="0" fillId="0" borderId="1" xfId="0" applyNumberFormat="1" applyBorder="1"/>
    <xf numFmtId="170" fontId="0" fillId="0" borderId="1" xfId="0" applyNumberFormat="1" applyBorder="1"/>
    <xf numFmtId="0" fontId="3" fillId="2" borderId="1" xfId="0" applyFont="1" applyFill="1" applyBorder="1" applyAlignment="1">
      <alignment wrapText="1"/>
    </xf>
    <xf numFmtId="171" fontId="0" fillId="0" borderId="1" xfId="0" applyNumberFormat="1" applyBorder="1"/>
    <xf numFmtId="172" fontId="0" fillId="0" borderId="1" xfId="0" applyNumberFormat="1" applyBorder="1"/>
    <xf numFmtId="173" fontId="0" fillId="0" borderId="1" xfId="0" applyNumberFormat="1" applyBorder="1"/>
    <xf numFmtId="174" fontId="0" fillId="0" borderId="1" xfId="0" applyNumberFormat="1" applyBorder="1"/>
    <xf numFmtId="175" fontId="0" fillId="0" borderId="1" xfId="0" applyNumberFormat="1" applyBorder="1"/>
    <xf numFmtId="176" fontId="0" fillId="0" borderId="1" xfId="0" applyNumberFormat="1" applyBorder="1"/>
    <xf numFmtId="177" fontId="0" fillId="0" borderId="1" xfId="0" applyNumberFormat="1" applyBorder="1"/>
    <xf numFmtId="178" fontId="0" fillId="0" borderId="1" xfId="0" applyNumberFormat="1" applyBorder="1"/>
    <xf numFmtId="179" fontId="0" fillId="0" borderId="1" xfId="0" applyNumberFormat="1" applyBorder="1"/>
    <xf numFmtId="180" fontId="0" fillId="0" borderId="1" xfId="0" applyNumberFormat="1" applyBorder="1"/>
    <xf numFmtId="181" fontId="0" fillId="0" borderId="1" xfId="0" applyNumberFormat="1" applyBorder="1"/>
    <xf numFmtId="165" fontId="0" fillId="0" borderId="1" xfId="0" applyNumberFormat="1" applyBorder="1"/>
    <xf numFmtId="14" fontId="3" fillId="2" borderId="1" xfId="0" applyNumberFormat="1" applyFont="1" applyFill="1" applyBorder="1" applyAlignment="1">
      <alignment wrapText="1"/>
    </xf>
    <xf numFmtId="18" fontId="0" fillId="7" borderId="1" xfId="0" applyNumberFormat="1" applyFill="1" applyBorder="1"/>
    <xf numFmtId="0" fontId="0" fillId="7" borderId="1" xfId="0" applyFill="1" applyBorder="1"/>
    <xf numFmtId="182" fontId="0" fillId="7" borderId="1" xfId="0" applyNumberFormat="1" applyFill="1" applyBorder="1"/>
    <xf numFmtId="19" fontId="0" fillId="7" borderId="1" xfId="0" applyNumberFormat="1" applyFill="1" applyBorder="1"/>
    <xf numFmtId="20" fontId="0" fillId="7" borderId="1" xfId="0" applyNumberFormat="1" applyFill="1" applyBorder="1"/>
    <xf numFmtId="183" fontId="0" fillId="0" borderId="1" xfId="0" applyNumberFormat="1" applyBorder="1"/>
    <xf numFmtId="184" fontId="0" fillId="0" borderId="1" xfId="0" applyNumberFormat="1" applyBorder="1"/>
    <xf numFmtId="22" fontId="0" fillId="8" borderId="1" xfId="0" applyNumberFormat="1" applyFill="1" applyBorder="1"/>
    <xf numFmtId="0" fontId="0" fillId="8" borderId="1" xfId="0" quotePrefix="1" applyFill="1" applyBorder="1"/>
    <xf numFmtId="0" fontId="0" fillId="8" borderId="1" xfId="0" applyFill="1" applyBorder="1"/>
    <xf numFmtId="185" fontId="0" fillId="8" borderId="1" xfId="0" applyNumberFormat="1" applyFill="1" applyBorder="1"/>
    <xf numFmtId="186" fontId="0" fillId="7" borderId="1" xfId="0" applyNumberFormat="1" applyFill="1" applyBorder="1"/>
    <xf numFmtId="187" fontId="0" fillId="7" borderId="1" xfId="0" applyNumberFormat="1" applyFill="1" applyBorder="1"/>
    <xf numFmtId="187" fontId="0" fillId="0" borderId="1" xfId="0" applyNumberFormat="1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0" fontId="13" fillId="4" borderId="16" xfId="0" applyFont="1" applyFill="1" applyBorder="1"/>
    <xf numFmtId="0" fontId="10" fillId="0" borderId="1" xfId="0" applyFont="1" applyBorder="1"/>
    <xf numFmtId="167" fontId="0" fillId="3" borderId="1" xfId="0" applyNumberFormat="1" applyFill="1" applyBorder="1"/>
    <xf numFmtId="0" fontId="2" fillId="4" borderId="8" xfId="0" applyFont="1" applyFill="1" applyBorder="1"/>
    <xf numFmtId="0" fontId="0" fillId="4" borderId="10" xfId="0" applyFill="1" applyBorder="1"/>
    <xf numFmtId="0" fontId="0" fillId="4" borderId="12" xfId="0" applyFill="1" applyBorder="1" applyAlignment="1">
      <alignment horizontal="right"/>
    </xf>
    <xf numFmtId="0" fontId="0" fillId="4" borderId="9" xfId="0" applyFill="1" applyBorder="1" applyAlignment="1">
      <alignment horizontal="right"/>
    </xf>
    <xf numFmtId="0" fontId="6" fillId="4" borderId="8" xfId="0" applyFont="1" applyFill="1" applyBorder="1"/>
    <xf numFmtId="18" fontId="0" fillId="0" borderId="2" xfId="0" applyNumberFormat="1" applyBorder="1"/>
    <xf numFmtId="0" fontId="1" fillId="2" borderId="4" xfId="0" applyFont="1" applyFill="1" applyBorder="1"/>
    <xf numFmtId="18" fontId="0" fillId="0" borderId="4" xfId="0" applyNumberFormat="1" applyBorder="1"/>
    <xf numFmtId="0" fontId="1" fillId="9" borderId="16" xfId="0" applyFont="1" applyFill="1" applyBorder="1" applyAlignment="1">
      <alignment horizontal="centerContinuous"/>
    </xf>
    <xf numFmtId="0" fontId="3" fillId="9" borderId="18" xfId="0" applyFont="1" applyFill="1" applyBorder="1" applyAlignment="1">
      <alignment horizontal="centerContinuous"/>
    </xf>
    <xf numFmtId="0" fontId="1" fillId="2" borderId="24" xfId="0" applyFont="1" applyFill="1" applyBorder="1"/>
    <xf numFmtId="0" fontId="1" fillId="2" borderId="25" xfId="0" applyFont="1" applyFill="1" applyBorder="1"/>
    <xf numFmtId="18" fontId="0" fillId="0" borderId="24" xfId="0" applyNumberFormat="1" applyBorder="1"/>
    <xf numFmtId="18" fontId="0" fillId="0" borderId="25" xfId="0" applyNumberFormat="1" applyBorder="1"/>
    <xf numFmtId="18" fontId="0" fillId="0" borderId="26" xfId="0" applyNumberFormat="1" applyBorder="1"/>
    <xf numFmtId="18" fontId="0" fillId="0" borderId="27" xfId="0" applyNumberFormat="1" applyBorder="1"/>
    <xf numFmtId="0" fontId="1" fillId="2" borderId="28" xfId="0" applyFont="1" applyFill="1" applyBorder="1"/>
    <xf numFmtId="0" fontId="1" fillId="2" borderId="3" xfId="0" applyFont="1" applyFill="1" applyBorder="1"/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3" fillId="2" borderId="14" xfId="0" applyFont="1" applyFill="1" applyBorder="1" applyAlignment="1">
      <alignment wrapText="1"/>
    </xf>
    <xf numFmtId="8" fontId="0" fillId="0" borderId="1" xfId="0" applyNumberFormat="1" applyBorder="1"/>
    <xf numFmtId="8" fontId="0" fillId="3" borderId="1" xfId="0" applyNumberFormat="1" applyFill="1" applyBorder="1"/>
    <xf numFmtId="0" fontId="8" fillId="0" borderId="0" xfId="0" applyFont="1"/>
    <xf numFmtId="0" fontId="0" fillId="0" borderId="0" xfId="0" applyAlignment="1">
      <alignment horizontal="left" indent="15"/>
    </xf>
    <xf numFmtId="188" fontId="0" fillId="0" borderId="1" xfId="0" applyNumberFormat="1" applyBorder="1"/>
    <xf numFmtId="189" fontId="0" fillId="0" borderId="1" xfId="0" applyNumberFormat="1" applyBorder="1"/>
    <xf numFmtId="21" fontId="0" fillId="0" borderId="1" xfId="0" applyNumberFormat="1" applyBorder="1"/>
    <xf numFmtId="22" fontId="0" fillId="0" borderId="0" xfId="0" applyNumberFormat="1"/>
    <xf numFmtId="18" fontId="0" fillId="0" borderId="1" xfId="0" quotePrefix="1" applyNumberFormat="1" applyBorder="1" applyAlignment="1">
      <alignment wrapText="1"/>
    </xf>
    <xf numFmtId="182" fontId="0" fillId="0" borderId="1" xfId="0" applyNumberFormat="1" applyBorder="1"/>
    <xf numFmtId="20" fontId="0" fillId="0" borderId="1" xfId="0" applyNumberFormat="1" applyBorder="1"/>
    <xf numFmtId="190" fontId="0" fillId="0" borderId="1" xfId="0" applyNumberFormat="1" applyBorder="1"/>
    <xf numFmtId="191" fontId="0" fillId="0" borderId="1" xfId="0" applyNumberFormat="1" applyBorder="1"/>
    <xf numFmtId="18" fontId="0" fillId="0" borderId="0" xfId="0" applyNumberFormat="1"/>
    <xf numFmtId="0" fontId="0" fillId="0" borderId="0" xfId="0" applyAlignment="1">
      <alignment horizontal="left" indent="2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3" xfId="0" applyBorder="1" applyAlignment="1">
      <alignment horizontal="left" vertical="top" wrapText="1" indent="3"/>
    </xf>
    <xf numFmtId="0" fontId="0" fillId="0" borderId="15" xfId="0" applyBorder="1" applyAlignment="1">
      <alignment horizontal="left" vertical="top" wrapText="1" indent="3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195262</xdr:colOff>
      <xdr:row>1</xdr:row>
      <xdr:rowOff>0</xdr:rowOff>
    </xdr:from>
    <xdr:to>
      <xdr:col>7</xdr:col>
      <xdr:colOff>195262</xdr:colOff>
      <xdr:row>2</xdr:row>
      <xdr:rowOff>38100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779DC82-8250-F64F-C266-1D04AEE94120}"/>
            </a:ext>
          </a:extLst>
        </xdr:cNvPr>
        <xdr:cNvCxnSpPr/>
      </xdr:nvCxnSpPr>
      <xdr:spPr>
        <a:xfrm>
          <a:off x="4267200" y="180975"/>
          <a:ext cx="0" cy="2190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9521</xdr:colOff>
      <xdr:row>0</xdr:row>
      <xdr:rowOff>9513</xdr:rowOff>
    </xdr:from>
    <xdr:to>
      <xdr:col>7</xdr:col>
      <xdr:colOff>461957</xdr:colOff>
      <xdr:row>1</xdr:row>
      <xdr:rowOff>23805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A17704A-DB82-5FAA-0ACD-8BEA8413D174}"/>
            </a:ext>
          </a:extLst>
        </xdr:cNvPr>
        <xdr:cNvSpPr/>
      </xdr:nvSpPr>
      <xdr:spPr>
        <a:xfrm>
          <a:off x="4081459" y="9513"/>
          <a:ext cx="452436" cy="1952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t"/>
        <a:lstStyle/>
        <a:p>
          <a:pPr algn="l"/>
          <a:r>
            <a:rPr lang="en-US" sz="1100" kern="1200" baseline="0">
              <a:solidFill>
                <a:schemeClr val="tx1"/>
              </a:solidFill>
            </a:rPr>
            <a:t>Space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195262</xdr:colOff>
      <xdr:row>1</xdr:row>
      <xdr:rowOff>0</xdr:rowOff>
    </xdr:from>
    <xdr:to>
      <xdr:col>7</xdr:col>
      <xdr:colOff>195262</xdr:colOff>
      <xdr:row>2</xdr:row>
      <xdr:rowOff>38100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DA0DDC4-FCA5-487E-9C83-0EB1FE8C109A}"/>
            </a:ext>
          </a:extLst>
        </xdr:cNvPr>
        <xdr:cNvCxnSpPr/>
      </xdr:nvCxnSpPr>
      <xdr:spPr>
        <a:xfrm>
          <a:off x="5354637" y="187325"/>
          <a:ext cx="0" cy="2254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9521</xdr:colOff>
      <xdr:row>0</xdr:row>
      <xdr:rowOff>9513</xdr:rowOff>
    </xdr:from>
    <xdr:to>
      <xdr:col>7</xdr:col>
      <xdr:colOff>461957</xdr:colOff>
      <xdr:row>1</xdr:row>
      <xdr:rowOff>23805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605FF60-ADB6-4972-8F46-636DB944F5EF}"/>
            </a:ext>
          </a:extLst>
        </xdr:cNvPr>
        <xdr:cNvSpPr/>
      </xdr:nvSpPr>
      <xdr:spPr>
        <a:xfrm>
          <a:off x="5168896" y="9513"/>
          <a:ext cx="452436" cy="2016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t"/>
        <a:lstStyle/>
        <a:p>
          <a:pPr algn="l"/>
          <a:r>
            <a:rPr lang="en-US" sz="1100" kern="1200" baseline="0">
              <a:solidFill>
                <a:schemeClr val="tx1"/>
              </a:solidFill>
            </a:rPr>
            <a:t>Space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101050</xdr:colOff>
      <xdr:row>4</xdr:row>
      <xdr:rowOff>33131</xdr:rowOff>
    </xdr:from>
    <xdr:to>
      <xdr:col>8</xdr:col>
      <xdr:colOff>159029</xdr:colOff>
      <xdr:row>4</xdr:row>
      <xdr:rowOff>33131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38AFBB2-2ACC-1D3A-B455-3D5213F2050F}"/>
            </a:ext>
          </a:extLst>
        </xdr:cNvPr>
        <xdr:cNvCxnSpPr/>
      </xdr:nvCxnSpPr>
      <xdr:spPr>
        <a:xfrm>
          <a:off x="7310233" y="689114"/>
          <a:ext cx="5797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101050</xdr:colOff>
      <xdr:row>4</xdr:row>
      <xdr:rowOff>33131</xdr:rowOff>
    </xdr:from>
    <xdr:to>
      <xdr:col>8</xdr:col>
      <xdr:colOff>159029</xdr:colOff>
      <xdr:row>4</xdr:row>
      <xdr:rowOff>33131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E5B1469-0BBA-419C-AD8D-639DF5A601E5}"/>
            </a:ext>
          </a:extLst>
        </xdr:cNvPr>
        <xdr:cNvCxnSpPr/>
      </xdr:nvCxnSpPr>
      <xdr:spPr>
        <a:xfrm>
          <a:off x="7282900" y="709406"/>
          <a:ext cx="82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youtube.com/watch?v=VcgSkLpgo6o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youtube.com/watch?v=VcgSkLpgo6o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292D-2142-46C8-933C-4C16375CC0C8}">
  <sheetPr>
    <tabColor rgb="FFFF0000"/>
  </sheetPr>
  <dimension ref="A2:J12"/>
  <sheetViews>
    <sheetView showGridLines="0" tabSelected="1" zoomScale="115" zoomScaleNormal="115" workbookViewId="0">
      <selection activeCell="A17" sqref="A17"/>
    </sheetView>
  </sheetViews>
  <sheetFormatPr defaultRowHeight="14.4" x14ac:dyDescent="0.3"/>
  <cols>
    <col min="1" max="1" width="24.88671875" customWidth="1"/>
    <col min="2" max="2" width="12.88671875" customWidth="1"/>
    <col min="3" max="3" width="1.44140625" customWidth="1"/>
    <col min="4" max="4" width="10.33203125" customWidth="1"/>
    <col min="9" max="9" width="11.5546875" customWidth="1"/>
    <col min="10" max="10" width="4.21875" customWidth="1"/>
    <col min="11" max="11" width="4.6640625" customWidth="1"/>
    <col min="12" max="12" width="2.77734375" bestFit="1" customWidth="1"/>
    <col min="13" max="13" width="13.44140625" customWidth="1"/>
  </cols>
  <sheetData>
    <row r="2" spans="1:10" x14ac:dyDescent="0.3">
      <c r="A2" s="134" t="s">
        <v>304</v>
      </c>
      <c r="J2">
        <v>2</v>
      </c>
    </row>
    <row r="3" spans="1:10" x14ac:dyDescent="0.3">
      <c r="A3" s="134" t="s">
        <v>303</v>
      </c>
      <c r="J3">
        <v>4</v>
      </c>
    </row>
    <row r="4" spans="1:10" x14ac:dyDescent="0.3">
      <c r="A4" s="134" t="s">
        <v>302</v>
      </c>
      <c r="J4">
        <v>5</v>
      </c>
    </row>
    <row r="5" spans="1:10" x14ac:dyDescent="0.3">
      <c r="A5" s="134" t="s">
        <v>301</v>
      </c>
      <c r="J5">
        <v>6</v>
      </c>
    </row>
    <row r="6" spans="1:10" x14ac:dyDescent="0.3">
      <c r="A6" s="134" t="s">
        <v>300</v>
      </c>
      <c r="J6">
        <v>6</v>
      </c>
    </row>
    <row r="7" spans="1:10" x14ac:dyDescent="0.3">
      <c r="A7" s="134" t="s">
        <v>299</v>
      </c>
      <c r="J7">
        <v>7</v>
      </c>
    </row>
    <row r="8" spans="1:10" x14ac:dyDescent="0.3">
      <c r="A8" s="134" t="s">
        <v>298</v>
      </c>
      <c r="J8">
        <v>8</v>
      </c>
    </row>
    <row r="9" spans="1:10" x14ac:dyDescent="0.3">
      <c r="A9" s="134" t="s">
        <v>297</v>
      </c>
      <c r="J9">
        <v>9</v>
      </c>
    </row>
    <row r="10" spans="1:10" x14ac:dyDescent="0.3">
      <c r="A10" s="134" t="s">
        <v>295</v>
      </c>
      <c r="J10">
        <v>11</v>
      </c>
    </row>
    <row r="11" spans="1:10" x14ac:dyDescent="0.3">
      <c r="A11" s="134" t="s">
        <v>296</v>
      </c>
      <c r="J11">
        <v>12</v>
      </c>
    </row>
    <row r="12" spans="1:10" x14ac:dyDescent="0.3">
      <c r="A12" s="134" t="s">
        <v>305</v>
      </c>
      <c r="J12">
        <v>13</v>
      </c>
    </row>
  </sheetData>
  <pageMargins left="0.3" right="0.3" top="1.25" bottom="0.6" header="0.3" footer="0.3"/>
  <pageSetup orientation="landscape" r:id="rId1"/>
  <headerFooter>
    <oddHeader>&amp;C&amp;"-,Bold"MS 365 Excel Basics #4
Date &amp; Time Number Formatting, Formulas, Functions &amp; Calculations&amp;12
&amp;10Goal &amp;"-,Regular"of video: Learn about date &amp; time serial numbers, number formatting &amp; formulas/functions</oddHead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A62D-2F3B-4A2F-B7FE-4C995280ADA0}">
  <sheetPr>
    <tabColor rgb="FFFFFF00"/>
  </sheetPr>
  <dimension ref="B1:K60"/>
  <sheetViews>
    <sheetView showGridLines="0" zoomScaleNormal="100" workbookViewId="0">
      <selection activeCell="I19" sqref="I19"/>
    </sheetView>
  </sheetViews>
  <sheetFormatPr defaultRowHeight="14.4" x14ac:dyDescent="0.3"/>
  <cols>
    <col min="1" max="1" width="1.44140625" customWidth="1"/>
    <col min="2" max="2" width="21.33203125" customWidth="1"/>
    <col min="3" max="3" width="16.88671875" customWidth="1"/>
    <col min="4" max="4" width="18.109375" customWidth="1"/>
    <col min="5" max="5" width="13.33203125" bestFit="1" customWidth="1"/>
    <col min="6" max="6" width="3.77734375" customWidth="1"/>
    <col min="7" max="7" width="3.44140625" customWidth="1"/>
    <col min="8" max="8" width="46.21875" customWidth="1"/>
    <col min="9" max="9" width="39" customWidth="1"/>
    <col min="10" max="10" width="1.44140625" customWidth="1"/>
    <col min="11" max="11" width="13.77734375" customWidth="1"/>
    <col min="15" max="16" width="4" customWidth="1"/>
    <col min="17" max="17" width="11" customWidth="1"/>
  </cols>
  <sheetData>
    <row r="1" spans="2:11" ht="18" x14ac:dyDescent="0.35">
      <c r="B1" s="122" t="s">
        <v>275</v>
      </c>
    </row>
    <row r="2" spans="2:11" x14ac:dyDescent="0.3">
      <c r="B2" s="1" t="s">
        <v>0</v>
      </c>
      <c r="C2" s="1" t="s">
        <v>1</v>
      </c>
      <c r="D2" s="1" t="s">
        <v>2</v>
      </c>
      <c r="E2" s="1" t="s">
        <v>15</v>
      </c>
      <c r="H2" s="1" t="s">
        <v>3</v>
      </c>
      <c r="I2" s="1" t="s">
        <v>16</v>
      </c>
    </row>
    <row r="3" spans="2:11" ht="29.55" customHeight="1" x14ac:dyDescent="0.3">
      <c r="B3" s="8" t="s">
        <v>4</v>
      </c>
      <c r="C3" s="13">
        <v>45519</v>
      </c>
      <c r="D3" s="13">
        <v>45561</v>
      </c>
      <c r="E3" s="4">
        <f>D3-C3</f>
        <v>42</v>
      </c>
      <c r="G3" s="5">
        <v>1</v>
      </c>
      <c r="H3" s="6" t="str" cm="1">
        <f t="array" aca="1" ref="H3:H7" ca="1">ShowFormulas(E3:E7)</f>
        <v>E3: =D3-C3</v>
      </c>
      <c r="I3" s="140" t="s">
        <v>206</v>
      </c>
    </row>
    <row r="4" spans="2:11" ht="28.8" x14ac:dyDescent="0.3">
      <c r="B4" s="8" t="s">
        <v>5</v>
      </c>
      <c r="C4" s="13">
        <v>45350</v>
      </c>
      <c r="D4" s="13">
        <v>45352</v>
      </c>
      <c r="E4" s="4">
        <f>D4-C4</f>
        <v>2</v>
      </c>
      <c r="G4" s="5">
        <v>2</v>
      </c>
      <c r="H4" s="6" t="str">
        <f ca="1"/>
        <v>E4: =D4-C4</v>
      </c>
      <c r="I4" s="144"/>
    </row>
    <row r="5" spans="2:11" ht="28.8" x14ac:dyDescent="0.3">
      <c r="B5" s="8" t="s">
        <v>6</v>
      </c>
      <c r="C5" s="13">
        <v>45540</v>
      </c>
      <c r="D5" s="13">
        <f>C5+120</f>
        <v>45660</v>
      </c>
      <c r="E5" s="4">
        <f>D5-C5</f>
        <v>120</v>
      </c>
      <c r="G5" s="5">
        <v>3</v>
      </c>
      <c r="H5" s="6" t="str">
        <f ca="1"/>
        <v>E5: =D5-C5</v>
      </c>
      <c r="I5" s="141"/>
      <c r="K5" s="15" t="s">
        <v>19</v>
      </c>
    </row>
    <row r="6" spans="2:11" ht="30" customHeight="1" x14ac:dyDescent="0.3">
      <c r="B6" s="8" t="s">
        <v>7</v>
      </c>
      <c r="C6" s="13">
        <v>45653</v>
      </c>
      <c r="D6" s="13">
        <v>45717</v>
      </c>
      <c r="E6" s="4">
        <f>D6-C6+1</f>
        <v>65</v>
      </c>
      <c r="G6" s="5">
        <v>4</v>
      </c>
      <c r="H6" s="6" t="str">
        <f ca="1"/>
        <v>E6: =D6-C6+1</v>
      </c>
      <c r="I6" s="140" t="s">
        <v>207</v>
      </c>
      <c r="K6" s="17">
        <v>45306</v>
      </c>
    </row>
    <row r="7" spans="2:11" ht="43.2" x14ac:dyDescent="0.3">
      <c r="B7" s="8" t="s">
        <v>77</v>
      </c>
      <c r="C7" s="13">
        <v>45519</v>
      </c>
      <c r="D7" s="13">
        <v>45561</v>
      </c>
      <c r="E7" s="4">
        <f>D7-C7+1</f>
        <v>43</v>
      </c>
      <c r="G7" s="5">
        <v>5</v>
      </c>
      <c r="H7" s="6" t="str">
        <f ca="1"/>
        <v>E7: =D7-C7+1</v>
      </c>
      <c r="I7" s="141"/>
      <c r="K7" s="17">
        <f>K6+7</f>
        <v>45313</v>
      </c>
    </row>
    <row r="8" spans="2:11" ht="58.95" customHeight="1" x14ac:dyDescent="0.3">
      <c r="B8" s="16" t="s">
        <v>20</v>
      </c>
      <c r="C8" s="13">
        <v>45312</v>
      </c>
      <c r="D8" s="13">
        <v>45365</v>
      </c>
      <c r="E8" s="4">
        <f>NETWORKDAYS.INTL(C8,D8,7,K6:K9)</f>
        <v>38</v>
      </c>
      <c r="G8" s="5">
        <v>6</v>
      </c>
      <c r="H8" s="6" t="str">
        <f ca="1">_xlfn.IFNA(ADDRESS(ROW(E8),COLUMN(E8),4)&amp;": "&amp;_xlfn.FORMULATEXT(E8),"")</f>
        <v>E8: =NETWORKDAYS.INTL(C8,D8,7,K6:K9)</v>
      </c>
      <c r="I8" s="140" t="s">
        <v>205</v>
      </c>
      <c r="K8" s="17">
        <f>K7+7</f>
        <v>45320</v>
      </c>
    </row>
    <row r="9" spans="2:11" ht="57.6" x14ac:dyDescent="0.3">
      <c r="B9" s="16" t="s">
        <v>21</v>
      </c>
      <c r="C9" s="13">
        <v>45312</v>
      </c>
      <c r="D9" s="13">
        <v>45365</v>
      </c>
      <c r="E9" s="4">
        <f>NETWORKDAYS.INTL(C9,D9,"0010001",K6:K9)</f>
        <v>35</v>
      </c>
      <c r="G9" s="5">
        <v>7</v>
      </c>
      <c r="H9" s="6" t="str">
        <f ca="1">_xlfn.IFNA(ADDRESS(ROW(E9),COLUMN(E9),4)&amp;": "&amp;_xlfn.FORMULATEXT(E9),"")</f>
        <v>E9: =NETWORKDAYS.INTL(C9,D9,"0010001",K6:K9)</v>
      </c>
      <c r="I9" s="141"/>
      <c r="K9" s="17">
        <v>45338</v>
      </c>
    </row>
    <row r="10" spans="2:11" x14ac:dyDescent="0.3">
      <c r="B10" s="118"/>
    </row>
    <row r="11" spans="2:11" x14ac:dyDescent="0.3">
      <c r="B11" s="1" t="s">
        <v>0</v>
      </c>
      <c r="C11" s="1" t="s">
        <v>1</v>
      </c>
      <c r="D11" s="1" t="s">
        <v>9</v>
      </c>
      <c r="E11" s="1" t="s">
        <v>28</v>
      </c>
      <c r="H11" s="2" t="s">
        <v>29</v>
      </c>
      <c r="I11" s="2" t="s">
        <v>16</v>
      </c>
    </row>
    <row r="12" spans="2:11" ht="28.8" x14ac:dyDescent="0.3">
      <c r="B12" s="16" t="s">
        <v>10</v>
      </c>
      <c r="C12" s="13">
        <v>45540</v>
      </c>
      <c r="D12" s="6">
        <v>120</v>
      </c>
      <c r="E12" s="56">
        <f>C12+D12</f>
        <v>45660</v>
      </c>
      <c r="G12" s="5">
        <v>8</v>
      </c>
      <c r="H12" s="6" t="str">
        <f ca="1">_xlfn.IFNA(ADDRESS(ROW(E12),COLUMN(E12),4)&amp;": "&amp;_xlfn.FORMULATEXT(E12),"")</f>
        <v>E12: =C12+D12</v>
      </c>
      <c r="I12" s="16" t="s">
        <v>81</v>
      </c>
    </row>
    <row r="13" spans="2:11" ht="72" x14ac:dyDescent="0.3">
      <c r="B13" s="16" t="s">
        <v>80</v>
      </c>
      <c r="C13" s="13">
        <v>45613</v>
      </c>
      <c r="D13" s="6">
        <v>40</v>
      </c>
      <c r="E13" s="56">
        <f>WORKDAY.INTL(C13-1,D13,7)</f>
        <v>45666</v>
      </c>
      <c r="G13" s="5">
        <v>9</v>
      </c>
      <c r="H13" s="6" t="str">
        <f ca="1">_xlfn.IFNA(ADDRESS(ROW(E13),COLUMN(E13),4)&amp;": "&amp;_xlfn.FORMULATEXT(E13),"")</f>
        <v>E13: =WORKDAY.INTL(C13-1,D13,7)</v>
      </c>
      <c r="I13" s="58" t="s">
        <v>278</v>
      </c>
    </row>
    <row r="14" spans="2:11" x14ac:dyDescent="0.3">
      <c r="B14" s="118"/>
    </row>
    <row r="15" spans="2:11" x14ac:dyDescent="0.3">
      <c r="B15" s="1" t="s">
        <v>0</v>
      </c>
      <c r="C15" s="1" t="s">
        <v>2</v>
      </c>
      <c r="D15" s="1" t="s">
        <v>9</v>
      </c>
      <c r="E15" s="1" t="s">
        <v>1</v>
      </c>
      <c r="H15" s="2" t="s">
        <v>29</v>
      </c>
      <c r="I15" s="2" t="s">
        <v>16</v>
      </c>
    </row>
    <row r="16" spans="2:11" ht="28.8" x14ac:dyDescent="0.3">
      <c r="B16" s="16" t="s">
        <v>31</v>
      </c>
      <c r="C16" s="13">
        <v>45660</v>
      </c>
      <c r="D16" s="6">
        <v>120</v>
      </c>
      <c r="E16" s="56">
        <f>C16-D16</f>
        <v>45540</v>
      </c>
      <c r="G16" s="5">
        <v>10</v>
      </c>
      <c r="H16" s="6" t="str">
        <f ca="1">_xlfn.IFNA(ADDRESS(ROW(E16),COLUMN(E16),4)&amp;": "&amp;_xlfn.FORMULATEXT(E16),"")</f>
        <v>E16: =C16-D16</v>
      </c>
      <c r="I16" s="16" t="s">
        <v>82</v>
      </c>
    </row>
    <row r="17" spans="2:9" ht="72" x14ac:dyDescent="0.3">
      <c r="B17" s="16" t="s">
        <v>80</v>
      </c>
      <c r="C17" s="13">
        <v>45666</v>
      </c>
      <c r="D17" s="6">
        <v>-40</v>
      </c>
      <c r="E17" s="56">
        <f>WORKDAY.INTL(C17+1,D17,7)</f>
        <v>45613</v>
      </c>
      <c r="G17" s="5">
        <v>11</v>
      </c>
      <c r="H17" s="6" t="str">
        <f ca="1">_xlfn.IFNA(ADDRESS(ROW(E17),COLUMN(E17),4)&amp;": "&amp;_xlfn.FORMULATEXT(E17),"")</f>
        <v>E17: =WORKDAY.INTL(C17+1,D17,7)</v>
      </c>
      <c r="I17" s="58" t="s">
        <v>279</v>
      </c>
    </row>
    <row r="18" spans="2:9" x14ac:dyDescent="0.3">
      <c r="B18" s="118"/>
    </row>
    <row r="19" spans="2:9" ht="28.8" x14ac:dyDescent="0.3">
      <c r="B19" s="1" t="s">
        <v>0</v>
      </c>
      <c r="C19" s="31" t="s">
        <v>87</v>
      </c>
      <c r="D19" s="31" t="s">
        <v>11</v>
      </c>
      <c r="E19" s="1" t="s">
        <v>32</v>
      </c>
      <c r="G19" s="5" t="str">
        <f>IF(ISNUMBER(C19),COUNT($C$5:C19),"")</f>
        <v/>
      </c>
      <c r="H19" s="2" t="s">
        <v>29</v>
      </c>
      <c r="I19" s="2" t="s">
        <v>16</v>
      </c>
    </row>
    <row r="20" spans="2:9" ht="43.2" x14ac:dyDescent="0.3">
      <c r="B20" s="8" t="s">
        <v>12</v>
      </c>
      <c r="C20" s="13">
        <v>45313</v>
      </c>
      <c r="D20" s="6">
        <v>60</v>
      </c>
      <c r="E20" s="56">
        <f>EDATE(C20,D20)</f>
        <v>47140</v>
      </c>
      <c r="G20" s="5">
        <v>12</v>
      </c>
      <c r="H20" s="6" t="str">
        <f ca="1">_xlfn.IFNA(ADDRESS(ROW(E20),COLUMN(E20),4)&amp;": "&amp;_xlfn.FORMULATEXT(E20),"")</f>
        <v>E20: =EDATE(C20,D20)</v>
      </c>
      <c r="I20" s="16" t="s">
        <v>85</v>
      </c>
    </row>
    <row r="21" spans="2:9" ht="28.8" x14ac:dyDescent="0.3">
      <c r="B21" s="8" t="s">
        <v>13</v>
      </c>
      <c r="C21" s="13">
        <v>45342</v>
      </c>
      <c r="D21" s="6">
        <v>0</v>
      </c>
      <c r="E21" s="56">
        <f>EOMONTH(C21,D21)</f>
        <v>45351</v>
      </c>
      <c r="G21" s="5">
        <v>13</v>
      </c>
      <c r="H21" s="6" t="str">
        <f t="shared" ref="H21:H23" ca="1" si="0">_xlfn.IFNA(ADDRESS(ROW(E21),COLUMN(E21),4)&amp;": "&amp;_xlfn.FORMULATEXT(E21),"")</f>
        <v>E21: =EOMONTH(C21,D21)</v>
      </c>
      <c r="I21" s="16" t="s">
        <v>86</v>
      </c>
    </row>
    <row r="22" spans="2:9" ht="44.25" customHeight="1" x14ac:dyDescent="0.3">
      <c r="B22" s="8" t="s">
        <v>83</v>
      </c>
      <c r="C22" s="13">
        <v>45313</v>
      </c>
      <c r="D22" s="6">
        <v>2</v>
      </c>
      <c r="E22" s="56">
        <f>EDATE(C22,D22)</f>
        <v>45373</v>
      </c>
      <c r="G22" s="5">
        <v>14</v>
      </c>
      <c r="H22" s="6" t="str">
        <f t="shared" ca="1" si="0"/>
        <v>E22: =EDATE(C22,D22)</v>
      </c>
      <c r="I22" s="138" t="s">
        <v>99</v>
      </c>
    </row>
    <row r="23" spans="2:9" ht="43.2" x14ac:dyDescent="0.3">
      <c r="B23" s="8" t="s">
        <v>84</v>
      </c>
      <c r="C23" s="13">
        <v>45311</v>
      </c>
      <c r="D23" s="6">
        <v>1</v>
      </c>
      <c r="E23" s="56">
        <f>EOMONTH(C23,D23)</f>
        <v>45351</v>
      </c>
      <c r="G23" s="5">
        <v>15</v>
      </c>
      <c r="H23" s="6" t="str">
        <f t="shared" ca="1" si="0"/>
        <v>E23: =EOMONTH(C23,D23)</v>
      </c>
      <c r="I23" s="139"/>
    </row>
    <row r="24" spans="2:9" x14ac:dyDescent="0.3">
      <c r="B24" s="118"/>
    </row>
    <row r="25" spans="2:9" x14ac:dyDescent="0.3">
      <c r="B25" s="31" t="s">
        <v>0</v>
      </c>
      <c r="C25" s="31" t="s">
        <v>199</v>
      </c>
      <c r="E25" s="1" t="s">
        <v>32</v>
      </c>
      <c r="G25" s="5" t="str">
        <f>IF(ISNUMBER(C25),COUNT($C$1:C25),"")</f>
        <v/>
      </c>
    </row>
    <row r="26" spans="2:9" ht="28.8" x14ac:dyDescent="0.3">
      <c r="B26" s="8" t="s">
        <v>88</v>
      </c>
      <c r="C26" s="13">
        <v>45613</v>
      </c>
      <c r="E26" s="4">
        <f>YEAR(C26)</f>
        <v>2024</v>
      </c>
      <c r="G26" s="5">
        <v>16</v>
      </c>
      <c r="H26" s="6" t="str" cm="1">
        <f t="array" aca="1" ref="H26:H30" ca="1">ShowFormulas(E26:E30)</f>
        <v>E26: =YEAR(C26)</v>
      </c>
      <c r="I26" s="16" t="s">
        <v>93</v>
      </c>
    </row>
    <row r="27" spans="2:9" ht="28.8" x14ac:dyDescent="0.3">
      <c r="B27" s="8" t="s">
        <v>89</v>
      </c>
      <c r="C27" s="13">
        <v>45613</v>
      </c>
      <c r="E27" s="4">
        <f>MONTH(C27)</f>
        <v>11</v>
      </c>
      <c r="G27" s="5">
        <v>17</v>
      </c>
      <c r="H27" s="6" t="str">
        <f ca="1"/>
        <v>E27: =MONTH(C27)</v>
      </c>
      <c r="I27" s="16" t="s">
        <v>94</v>
      </c>
    </row>
    <row r="28" spans="2:9" ht="28.8" x14ac:dyDescent="0.3">
      <c r="B28" s="16" t="s">
        <v>43</v>
      </c>
      <c r="C28" s="13">
        <v>45613</v>
      </c>
      <c r="E28" s="4">
        <f>DAY(C28)</f>
        <v>17</v>
      </c>
      <c r="G28" s="5">
        <v>18</v>
      </c>
      <c r="H28" s="6" t="str">
        <f ca="1"/>
        <v>E28: =DAY(C28)</v>
      </c>
      <c r="I28" s="16" t="s">
        <v>95</v>
      </c>
    </row>
    <row r="29" spans="2:9" ht="14.7" customHeight="1" x14ac:dyDescent="0.3">
      <c r="B29" s="16" t="s">
        <v>91</v>
      </c>
      <c r="C29" s="13">
        <v>45613</v>
      </c>
      <c r="E29" s="4" t="str">
        <f>TEXT(C29,"dddd")</f>
        <v>Sunday</v>
      </c>
      <c r="G29" s="5">
        <v>19</v>
      </c>
      <c r="H29" s="6" t="str">
        <f ca="1"/>
        <v>E29: =TEXT(C29,"dddd")</v>
      </c>
      <c r="I29" s="140" t="s">
        <v>98</v>
      </c>
    </row>
    <row r="30" spans="2:9" x14ac:dyDescent="0.3">
      <c r="B30" s="16" t="s">
        <v>92</v>
      </c>
      <c r="C30" s="13">
        <v>45613</v>
      </c>
      <c r="E30" s="4" t="str">
        <f>TEXT(C30,"mmm")</f>
        <v>Nov</v>
      </c>
      <c r="G30" s="5">
        <v>20</v>
      </c>
      <c r="H30" s="6" t="str">
        <f ca="1"/>
        <v>E30: =TEXT(C30,"mmm")</v>
      </c>
      <c r="I30" s="141"/>
    </row>
    <row r="31" spans="2:9" x14ac:dyDescent="0.3">
      <c r="B31" s="118"/>
    </row>
    <row r="32" spans="2:9" x14ac:dyDescent="0.3">
      <c r="B32" s="31" t="s">
        <v>0</v>
      </c>
      <c r="D32" s="35" t="s">
        <v>36</v>
      </c>
      <c r="E32" s="36">
        <v>0.33333333333333331</v>
      </c>
    </row>
    <row r="33" spans="2:11" x14ac:dyDescent="0.3">
      <c r="B33" s="16" t="s">
        <v>201</v>
      </c>
      <c r="D33" s="35" t="s">
        <v>37</v>
      </c>
      <c r="E33" s="36">
        <v>0.54861111111111116</v>
      </c>
      <c r="H33" s="1" t="s">
        <v>3</v>
      </c>
      <c r="I33" s="1" t="s">
        <v>16</v>
      </c>
    </row>
    <row r="34" spans="2:11" ht="43.2" x14ac:dyDescent="0.3">
      <c r="B34" s="118"/>
      <c r="D34" s="35" t="s">
        <v>38</v>
      </c>
      <c r="E34" s="4">
        <f>(E33-E32)*24</f>
        <v>5.1666666666666679</v>
      </c>
      <c r="G34" s="5">
        <v>21</v>
      </c>
      <c r="H34" s="6" t="str" cm="1">
        <f t="array" aca="1" ref="H34" ca="1">ShowFormulas(E34)</f>
        <v>E34: =(E33-E32)*24</v>
      </c>
      <c r="I34" s="16" t="s">
        <v>202</v>
      </c>
    </row>
    <row r="35" spans="2:11" x14ac:dyDescent="0.3">
      <c r="B35" s="118"/>
      <c r="D35" s="35" t="s">
        <v>204</v>
      </c>
      <c r="E35" s="6">
        <v>27.55</v>
      </c>
    </row>
    <row r="36" spans="2:11" x14ac:dyDescent="0.3">
      <c r="B36" s="118"/>
      <c r="D36" s="35" t="s">
        <v>39</v>
      </c>
      <c r="E36" s="4">
        <f>ROUND(E34*E35,2)</f>
        <v>142.34</v>
      </c>
      <c r="G36" s="5">
        <v>22</v>
      </c>
      <c r="H36" s="6" t="str" cm="1">
        <f t="array" aca="1" ref="H36" ca="1">ShowFormulas(E36)</f>
        <v>E36: =ROUND(E34*E35,2)</v>
      </c>
      <c r="I36" s="6" t="s">
        <v>200</v>
      </c>
    </row>
    <row r="37" spans="2:11" x14ac:dyDescent="0.3">
      <c r="B37" s="118"/>
    </row>
    <row r="38" spans="2:11" x14ac:dyDescent="0.3">
      <c r="B38" s="31" t="s">
        <v>0</v>
      </c>
      <c r="D38" s="54" t="s">
        <v>195</v>
      </c>
      <c r="E38" s="36">
        <v>0.35416666666666669</v>
      </c>
    </row>
    <row r="39" spans="2:11" ht="28.8" x14ac:dyDescent="0.3">
      <c r="B39" s="16" t="s">
        <v>203</v>
      </c>
      <c r="D39" s="115" t="s">
        <v>196</v>
      </c>
      <c r="E39" s="36">
        <v>0.50347222222222221</v>
      </c>
      <c r="F39" s="142" t="s">
        <v>194</v>
      </c>
      <c r="G39" s="143"/>
      <c r="K39" s="5"/>
    </row>
    <row r="40" spans="2:11" x14ac:dyDescent="0.3">
      <c r="B40" s="118"/>
      <c r="D40" s="54" t="s">
        <v>197</v>
      </c>
      <c r="E40" s="36">
        <v>0.52083333333333337</v>
      </c>
      <c r="F40" s="142"/>
      <c r="G40" s="143"/>
    </row>
    <row r="41" spans="2:11" x14ac:dyDescent="0.3">
      <c r="B41" s="118"/>
      <c r="D41" s="116" t="s">
        <v>198</v>
      </c>
      <c r="E41" s="36">
        <v>0.73749999999999993</v>
      </c>
    </row>
    <row r="42" spans="2:11" ht="43.2" x14ac:dyDescent="0.3">
      <c r="B42" s="118"/>
      <c r="D42" s="54" t="s">
        <v>38</v>
      </c>
      <c r="E42" s="4">
        <f>(E39-E38+E41-E40)*24</f>
        <v>8.7833333333333279</v>
      </c>
      <c r="G42" s="5">
        <v>23</v>
      </c>
      <c r="H42" s="6" t="str" cm="1">
        <f t="array" aca="1" ref="H42" ca="1">ShowFormulas(E42)</f>
        <v>E42: =(E39-E38+E41-E40)*24</v>
      </c>
      <c r="I42" s="16" t="s">
        <v>208</v>
      </c>
    </row>
    <row r="43" spans="2:11" x14ac:dyDescent="0.3">
      <c r="B43" s="118"/>
    </row>
    <row r="44" spans="2:11" x14ac:dyDescent="0.3">
      <c r="B44" s="1" t="s">
        <v>0</v>
      </c>
      <c r="C44" s="1" t="s">
        <v>1</v>
      </c>
      <c r="D44" s="1" t="s">
        <v>2</v>
      </c>
      <c r="E44" s="1" t="s">
        <v>52</v>
      </c>
      <c r="H44" s="5" t="s">
        <v>3</v>
      </c>
      <c r="I44" s="2" t="s">
        <v>16</v>
      </c>
    </row>
    <row r="45" spans="2:11" ht="43.2" x14ac:dyDescent="0.3">
      <c r="B45" s="8" t="s">
        <v>8</v>
      </c>
      <c r="C45" s="132">
        <v>45617.847222222219</v>
      </c>
      <c r="D45" s="132">
        <v>45618.086805555555</v>
      </c>
      <c r="E45" s="4">
        <f>(D45-C45)*24</f>
        <v>5.7500000000582077</v>
      </c>
      <c r="G45" s="5">
        <v>24</v>
      </c>
      <c r="H45" s="6" t="str">
        <f t="shared" ref="H45:H47" ca="1" si="1">_xlfn.IFNA(ADDRESS(ROW(E45),COLUMN(E45),4)&amp;": "&amp;_xlfn.FORMULATEXT(E45),"")</f>
        <v>E45: =(D45-C45)*24</v>
      </c>
      <c r="I45" s="16" t="s">
        <v>294</v>
      </c>
    </row>
    <row r="46" spans="2:11" ht="28.8" x14ac:dyDescent="0.3">
      <c r="B46" s="8" t="s">
        <v>8</v>
      </c>
      <c r="C46" s="9">
        <v>0.84722222222222221</v>
      </c>
      <c r="D46" s="9">
        <v>8.6805555555555566E-2</v>
      </c>
      <c r="E46" s="4">
        <f>MOD(D46-C46,1)*24</f>
        <v>5.7500000000000009</v>
      </c>
      <c r="G46" s="5">
        <v>24</v>
      </c>
      <c r="H46" s="6" t="str">
        <f t="shared" ca="1" si="1"/>
        <v>E46: =MOD(D46-C46,1)*24</v>
      </c>
      <c r="I46" s="16" t="s">
        <v>292</v>
      </c>
    </row>
    <row r="47" spans="2:11" ht="43.2" x14ac:dyDescent="0.3">
      <c r="B47" s="8" t="s">
        <v>8</v>
      </c>
      <c r="C47" s="9">
        <v>0.84722222222222221</v>
      </c>
      <c r="D47" s="9">
        <v>8.6805555555555552E-2</v>
      </c>
      <c r="E47" s="4">
        <f>(D47-C47+(D47&lt;C47))*24</f>
        <v>5.7500000000000009</v>
      </c>
      <c r="G47" s="5">
        <v>26</v>
      </c>
      <c r="H47" s="6" t="str">
        <f t="shared" ca="1" si="1"/>
        <v>E47: =(D47-C47+(D47&lt;C47))*24</v>
      </c>
      <c r="I47" s="117" t="s">
        <v>293</v>
      </c>
    </row>
    <row r="48" spans="2:11" x14ac:dyDescent="0.3">
      <c r="B48" s="118"/>
    </row>
    <row r="49" spans="2:2" x14ac:dyDescent="0.3">
      <c r="B49" s="118"/>
    </row>
    <row r="50" spans="2:2" x14ac:dyDescent="0.3">
      <c r="B50" s="118"/>
    </row>
    <row r="51" spans="2:2" x14ac:dyDescent="0.3">
      <c r="B51" s="118"/>
    </row>
    <row r="52" spans="2:2" x14ac:dyDescent="0.3">
      <c r="B52" s="118"/>
    </row>
    <row r="53" spans="2:2" x14ac:dyDescent="0.3">
      <c r="B53" s="118"/>
    </row>
    <row r="54" spans="2:2" x14ac:dyDescent="0.3">
      <c r="B54" s="118"/>
    </row>
    <row r="55" spans="2:2" x14ac:dyDescent="0.3">
      <c r="B55" s="118"/>
    </row>
    <row r="56" spans="2:2" x14ac:dyDescent="0.3">
      <c r="B56" s="118"/>
    </row>
    <row r="57" spans="2:2" x14ac:dyDescent="0.3">
      <c r="B57" s="118"/>
    </row>
    <row r="58" spans="2:2" x14ac:dyDescent="0.3">
      <c r="B58" s="118"/>
    </row>
    <row r="59" spans="2:2" x14ac:dyDescent="0.3">
      <c r="B59" s="118"/>
    </row>
    <row r="60" spans="2:2" x14ac:dyDescent="0.3">
      <c r="B60" s="118"/>
    </row>
  </sheetData>
  <mergeCells count="6">
    <mergeCell ref="I29:I30"/>
    <mergeCell ref="F39:G40"/>
    <mergeCell ref="I3:I5"/>
    <mergeCell ref="I6:I7"/>
    <mergeCell ref="I8:I9"/>
    <mergeCell ref="I22:I23"/>
  </mergeCells>
  <printOptions headings="1"/>
  <pageMargins left="0.4" right="0.4" top="0.4" bottom="0.5" header="0.3" footer="0.3"/>
  <pageSetup scale="65" fitToHeight="0" orientation="landscape" r:id="rId1"/>
  <headerFooter>
    <oddFooter>&amp;L&amp;F - &amp;A&amp;CPage &amp;P of &amp;N</oddFooter>
  </headerFooter>
  <rowBreaks count="2" manualBreakCount="2">
    <brk id="18" max="10" man="1"/>
    <brk id="47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6883-A973-4CDB-8BA3-2FC4DA64D6AD}">
  <sheetPr>
    <tabColor rgb="FF0000FF"/>
  </sheetPr>
  <dimension ref="B1:N65"/>
  <sheetViews>
    <sheetView showGridLines="0" zoomScaleNormal="100" workbookViewId="0"/>
  </sheetViews>
  <sheetFormatPr defaultRowHeight="14.4" x14ac:dyDescent="0.3"/>
  <cols>
    <col min="1" max="1" width="1.6640625" customWidth="1"/>
    <col min="2" max="2" width="24.88671875" customWidth="1"/>
    <col min="3" max="3" width="12.88671875" customWidth="1"/>
    <col min="4" max="4" width="1.44140625" customWidth="1"/>
    <col min="5" max="5" width="10.33203125" customWidth="1"/>
    <col min="10" max="10" width="13.6640625" customWidth="1"/>
    <col min="12" max="12" width="4.6640625" customWidth="1"/>
    <col min="13" max="13" width="2.77734375" bestFit="1" customWidth="1"/>
    <col min="14" max="14" width="13.44140625" customWidth="1"/>
  </cols>
  <sheetData>
    <row r="1" spans="2:10" ht="6" customHeight="1" x14ac:dyDescent="0.3"/>
    <row r="2" spans="2:10" x14ac:dyDescent="0.3">
      <c r="B2" s="1" t="s">
        <v>62</v>
      </c>
      <c r="C2" s="13">
        <v>45590</v>
      </c>
      <c r="E2" t="s">
        <v>101</v>
      </c>
    </row>
    <row r="3" spans="2:10" x14ac:dyDescent="0.3">
      <c r="B3" s="1" t="s">
        <v>61</v>
      </c>
      <c r="C3" s="13">
        <v>45616</v>
      </c>
      <c r="E3" t="s">
        <v>63</v>
      </c>
    </row>
    <row r="4" spans="2:10" x14ac:dyDescent="0.3">
      <c r="B4" s="1" t="s">
        <v>65</v>
      </c>
      <c r="C4" s="4"/>
      <c r="E4" t="s">
        <v>64</v>
      </c>
    </row>
    <row r="5" spans="2:10" ht="6" customHeight="1" x14ac:dyDescent="0.3"/>
    <row r="6" spans="2:10" x14ac:dyDescent="0.3">
      <c r="B6" t="s">
        <v>66</v>
      </c>
      <c r="C6" t="str">
        <f ca="1">_xlfn.IFNA(ADDRESS(ROW(C4),COLUMN(C4),4)&amp;": "&amp;_xlfn.FORMULATEXT(C4),"")</f>
        <v/>
      </c>
    </row>
    <row r="7" spans="2:10" ht="6" customHeight="1" x14ac:dyDescent="0.3"/>
    <row r="8" spans="2:10" x14ac:dyDescent="0.3">
      <c r="B8" s="48" t="s">
        <v>71</v>
      </c>
      <c r="C8" s="20"/>
      <c r="D8" s="20"/>
      <c r="E8" s="20"/>
      <c r="F8" s="20"/>
      <c r="G8" s="20"/>
      <c r="H8" s="20"/>
      <c r="I8" s="20"/>
      <c r="J8" s="21"/>
    </row>
    <row r="9" spans="2:10" x14ac:dyDescent="0.3">
      <c r="B9" s="49" t="s">
        <v>276</v>
      </c>
      <c r="C9" s="23"/>
      <c r="D9" s="23"/>
      <c r="E9" s="23"/>
      <c r="F9" s="23"/>
      <c r="G9" s="23"/>
      <c r="H9" s="23"/>
      <c r="I9" s="23"/>
      <c r="J9" s="24"/>
    </row>
    <row r="10" spans="2:10" x14ac:dyDescent="0.3">
      <c r="B10" s="52" t="s">
        <v>67</v>
      </c>
      <c r="C10" s="27"/>
      <c r="D10" s="27"/>
      <c r="E10" s="27"/>
      <c r="F10" s="27"/>
      <c r="G10" s="27"/>
      <c r="H10" s="27"/>
      <c r="I10" s="27"/>
      <c r="J10" s="28"/>
    </row>
    <row r="11" spans="2:10" ht="6" customHeight="1" x14ac:dyDescent="0.3"/>
    <row r="12" spans="2:10" x14ac:dyDescent="0.3">
      <c r="B12" s="1" t="s">
        <v>61</v>
      </c>
      <c r="C12" s="6"/>
      <c r="E12" t="s">
        <v>68</v>
      </c>
    </row>
    <row r="13" spans="2:10" ht="6" customHeight="1" x14ac:dyDescent="0.3"/>
    <row r="14" spans="2:10" x14ac:dyDescent="0.3">
      <c r="B14" t="s">
        <v>69</v>
      </c>
    </row>
    <row r="15" spans="2:10" ht="6" customHeight="1" x14ac:dyDescent="0.3"/>
    <row r="16" spans="2:10" x14ac:dyDescent="0.3">
      <c r="B16" s="54" t="s">
        <v>70</v>
      </c>
      <c r="C16" s="1" t="s">
        <v>75</v>
      </c>
    </row>
    <row r="17" spans="2:5" x14ac:dyDescent="0.3">
      <c r="B17" s="53">
        <v>1</v>
      </c>
      <c r="C17" s="6">
        <v>1</v>
      </c>
      <c r="E17" t="s">
        <v>177</v>
      </c>
    </row>
    <row r="18" spans="2:5" x14ac:dyDescent="0.3">
      <c r="B18" s="53">
        <v>2</v>
      </c>
      <c r="C18" s="6">
        <v>2</v>
      </c>
      <c r="E18" t="s">
        <v>178</v>
      </c>
    </row>
    <row r="19" spans="2:5" x14ac:dyDescent="0.3">
      <c r="B19" s="53">
        <v>45613</v>
      </c>
      <c r="C19" s="6">
        <v>45613</v>
      </c>
      <c r="E19" t="str">
        <f>"The date "&amp;TEXT(B19,"m/d/yyyy")&amp;" is "&amp;C19&amp;" days since Dec 31, 1899"</f>
        <v>The date 11/17/2024 is 45613 days since Dec 31, 1899</v>
      </c>
    </row>
    <row r="20" spans="2:5" x14ac:dyDescent="0.3">
      <c r="B20" s="53">
        <v>2958225</v>
      </c>
      <c r="C20" s="6">
        <v>2958225</v>
      </c>
      <c r="E20" t="str">
        <f>"The date "&amp;TEXT(B20,"m/d/yyyy")&amp;" is "&amp;C20&amp;" days since Dec 31, 1899"</f>
        <v>The date 5/5/9999 is 2958225 days since Dec 31, 1899</v>
      </c>
    </row>
    <row r="21" spans="2:5" x14ac:dyDescent="0.3">
      <c r="B21" s="7" t="s">
        <v>72</v>
      </c>
      <c r="C21" s="6" t="s">
        <v>74</v>
      </c>
      <c r="E21" t="s">
        <v>106</v>
      </c>
    </row>
    <row r="22" spans="2:5" x14ac:dyDescent="0.3">
      <c r="B22" s="7" t="s">
        <v>73</v>
      </c>
      <c r="C22" s="6" t="s">
        <v>74</v>
      </c>
      <c r="E22" t="s">
        <v>106</v>
      </c>
    </row>
    <row r="23" spans="2:5" ht="28.8" x14ac:dyDescent="0.3">
      <c r="B23" s="6" t="s">
        <v>104</v>
      </c>
      <c r="C23" s="16" t="s">
        <v>105</v>
      </c>
      <c r="E23" t="s">
        <v>179</v>
      </c>
    </row>
    <row r="24" spans="2:5" ht="7.95" customHeight="1" x14ac:dyDescent="0.3"/>
    <row r="25" spans="2:5" x14ac:dyDescent="0.3">
      <c r="B25" s="5" t="s">
        <v>76</v>
      </c>
    </row>
    <row r="26" spans="2:5" x14ac:dyDescent="0.3">
      <c r="B26" s="54" t="s">
        <v>61</v>
      </c>
      <c r="C26" s="1" t="s">
        <v>75</v>
      </c>
    </row>
    <row r="27" spans="2:5" x14ac:dyDescent="0.3">
      <c r="B27" s="13">
        <v>45613</v>
      </c>
      <c r="C27" s="6">
        <v>45613</v>
      </c>
    </row>
    <row r="28" spans="2:5" x14ac:dyDescent="0.3">
      <c r="B28" s="13">
        <v>45613</v>
      </c>
      <c r="C28" s="6">
        <v>45613</v>
      </c>
    </row>
    <row r="29" spans="2:5" x14ac:dyDescent="0.3">
      <c r="B29" s="13">
        <v>45613</v>
      </c>
      <c r="C29" s="6">
        <v>45613</v>
      </c>
    </row>
    <row r="30" spans="2:5" x14ac:dyDescent="0.3">
      <c r="B30" s="13">
        <v>45613</v>
      </c>
      <c r="C30" s="6">
        <v>45613</v>
      </c>
    </row>
    <row r="31" spans="2:5" x14ac:dyDescent="0.3">
      <c r="B31" s="13">
        <v>45613</v>
      </c>
      <c r="C31" s="6">
        <v>45613</v>
      </c>
      <c r="E31" t="s">
        <v>96</v>
      </c>
    </row>
    <row r="32" spans="2:5" x14ac:dyDescent="0.3">
      <c r="E32" t="s">
        <v>97</v>
      </c>
    </row>
    <row r="33" spans="13:14" ht="6.45" customHeight="1" x14ac:dyDescent="0.3"/>
    <row r="40" spans="13:14" x14ac:dyDescent="0.3">
      <c r="M40" s="6">
        <v>1</v>
      </c>
      <c r="N40" s="13">
        <v>45591</v>
      </c>
    </row>
    <row r="41" spans="13:14" x14ac:dyDescent="0.3">
      <c r="M41" s="6">
        <v>2</v>
      </c>
      <c r="N41" s="13">
        <v>45592</v>
      </c>
    </row>
    <row r="42" spans="13:14" x14ac:dyDescent="0.3">
      <c r="M42" s="6">
        <v>3</v>
      </c>
      <c r="N42" s="13">
        <v>45593</v>
      </c>
    </row>
    <row r="43" spans="13:14" x14ac:dyDescent="0.3">
      <c r="M43" s="6">
        <v>4</v>
      </c>
      <c r="N43" s="13">
        <v>45594</v>
      </c>
    </row>
    <row r="44" spans="13:14" x14ac:dyDescent="0.3">
      <c r="M44" s="6">
        <v>5</v>
      </c>
      <c r="N44" s="13">
        <v>45595</v>
      </c>
    </row>
    <row r="45" spans="13:14" x14ac:dyDescent="0.3">
      <c r="M45" s="6">
        <v>6</v>
      </c>
      <c r="N45" s="13">
        <v>45596</v>
      </c>
    </row>
    <row r="46" spans="13:14" x14ac:dyDescent="0.3">
      <c r="M46" s="6">
        <v>7</v>
      </c>
      <c r="N46" s="13">
        <v>45597</v>
      </c>
    </row>
    <row r="47" spans="13:14" x14ac:dyDescent="0.3">
      <c r="M47" s="6">
        <v>8</v>
      </c>
      <c r="N47" s="13">
        <v>45598</v>
      </c>
    </row>
    <row r="48" spans="13:14" x14ac:dyDescent="0.3">
      <c r="M48" s="6">
        <v>9</v>
      </c>
      <c r="N48" s="13">
        <v>45599</v>
      </c>
    </row>
    <row r="49" spans="13:14" x14ac:dyDescent="0.3">
      <c r="M49" s="6">
        <v>10</v>
      </c>
      <c r="N49" s="13">
        <v>45600</v>
      </c>
    </row>
    <row r="50" spans="13:14" x14ac:dyDescent="0.3">
      <c r="M50" s="6">
        <v>11</v>
      </c>
      <c r="N50" s="13">
        <v>45601</v>
      </c>
    </row>
    <row r="51" spans="13:14" x14ac:dyDescent="0.3">
      <c r="M51" s="6">
        <v>12</v>
      </c>
      <c r="N51" s="13">
        <v>45602</v>
      </c>
    </row>
    <row r="52" spans="13:14" x14ac:dyDescent="0.3">
      <c r="M52" s="6">
        <v>13</v>
      </c>
      <c r="N52" s="13">
        <v>45603</v>
      </c>
    </row>
    <row r="53" spans="13:14" x14ac:dyDescent="0.3">
      <c r="M53" s="6">
        <v>14</v>
      </c>
      <c r="N53" s="13">
        <v>45604</v>
      </c>
    </row>
    <row r="54" spans="13:14" x14ac:dyDescent="0.3">
      <c r="M54" s="6">
        <v>15</v>
      </c>
      <c r="N54" s="13">
        <v>45605</v>
      </c>
    </row>
    <row r="55" spans="13:14" x14ac:dyDescent="0.3">
      <c r="M55" s="6">
        <v>16</v>
      </c>
      <c r="N55" s="13">
        <v>45606</v>
      </c>
    </row>
    <row r="56" spans="13:14" x14ac:dyDescent="0.3">
      <c r="M56" s="6">
        <v>17</v>
      </c>
      <c r="N56" s="13">
        <v>45607</v>
      </c>
    </row>
    <row r="57" spans="13:14" x14ac:dyDescent="0.3">
      <c r="M57" s="6">
        <v>18</v>
      </c>
      <c r="N57" s="13">
        <v>45608</v>
      </c>
    </row>
    <row r="58" spans="13:14" x14ac:dyDescent="0.3">
      <c r="M58" s="6">
        <v>19</v>
      </c>
      <c r="N58" s="13">
        <v>45609</v>
      </c>
    </row>
    <row r="59" spans="13:14" x14ac:dyDescent="0.3">
      <c r="M59" s="6">
        <v>20</v>
      </c>
      <c r="N59" s="13">
        <v>45610</v>
      </c>
    </row>
    <row r="60" spans="13:14" x14ac:dyDescent="0.3">
      <c r="M60" s="6">
        <v>21</v>
      </c>
      <c r="N60" s="13">
        <v>45611</v>
      </c>
    </row>
    <row r="61" spans="13:14" x14ac:dyDescent="0.3">
      <c r="M61" s="6">
        <v>22</v>
      </c>
      <c r="N61" s="13">
        <v>45612</v>
      </c>
    </row>
    <row r="62" spans="13:14" x14ac:dyDescent="0.3">
      <c r="M62" s="6">
        <v>23</v>
      </c>
      <c r="N62" s="13">
        <v>45613</v>
      </c>
    </row>
    <row r="63" spans="13:14" x14ac:dyDescent="0.3">
      <c r="M63" s="6">
        <v>24</v>
      </c>
      <c r="N63" s="13">
        <v>45614</v>
      </c>
    </row>
    <row r="64" spans="13:14" x14ac:dyDescent="0.3">
      <c r="M64" s="6">
        <v>25</v>
      </c>
      <c r="N64" s="13">
        <v>45615</v>
      </c>
    </row>
    <row r="65" spans="13:14" x14ac:dyDescent="0.3">
      <c r="M65" s="6">
        <v>26</v>
      </c>
      <c r="N65" s="13">
        <v>45616</v>
      </c>
    </row>
  </sheetData>
  <printOptions headings="1"/>
  <pageMargins left="0.3" right="0.3" top="1" bottom="0.6" header="0.3" footer="0.3"/>
  <pageSetup scale="105" orientation="landscape" r:id="rId1"/>
  <headerFooter>
    <oddHeader>&amp;C&amp;"-,Bold"&amp;12MS 365 Excel Basics #4
Date &amp; Time Number Formatting, Formulas, Functions &amp; Calculations</oddHeader>
    <oddFooter>&amp;L&amp;F - &amp;A&amp;C&amp;P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AFDC-B339-4F8B-A871-549425082A4D}">
  <sheetPr>
    <tabColor rgb="FFFF0000"/>
  </sheetPr>
  <dimension ref="B1:N65"/>
  <sheetViews>
    <sheetView showGridLines="0" zoomScaleNormal="100" workbookViewId="0">
      <selection activeCell="I19" sqref="I19"/>
    </sheetView>
  </sheetViews>
  <sheetFormatPr defaultRowHeight="14.4" x14ac:dyDescent="0.3"/>
  <cols>
    <col min="1" max="1" width="1.6640625" customWidth="1"/>
    <col min="2" max="2" width="24.88671875" customWidth="1"/>
    <col min="3" max="3" width="12.88671875" customWidth="1"/>
    <col min="4" max="4" width="1.44140625" customWidth="1"/>
    <col min="5" max="5" width="10.33203125" customWidth="1"/>
    <col min="10" max="10" width="13.6640625" customWidth="1"/>
    <col min="12" max="12" width="4.6640625" customWidth="1"/>
    <col min="13" max="13" width="2.77734375" bestFit="1" customWidth="1"/>
    <col min="14" max="14" width="13.44140625" customWidth="1"/>
  </cols>
  <sheetData>
    <row r="1" spans="2:10" ht="6" customHeight="1" x14ac:dyDescent="0.3"/>
    <row r="2" spans="2:10" x14ac:dyDescent="0.3">
      <c r="B2" s="1" t="s">
        <v>62</v>
      </c>
      <c r="C2" s="13">
        <v>45590</v>
      </c>
      <c r="E2" t="s">
        <v>101</v>
      </c>
    </row>
    <row r="3" spans="2:10" x14ac:dyDescent="0.3">
      <c r="B3" s="1" t="s">
        <v>61</v>
      </c>
      <c r="C3" s="13">
        <v>45616</v>
      </c>
      <c r="E3" t="s">
        <v>63</v>
      </c>
    </row>
    <row r="4" spans="2:10" x14ac:dyDescent="0.3">
      <c r="B4" s="1" t="s">
        <v>65</v>
      </c>
      <c r="C4" s="4">
        <f>C3-C2</f>
        <v>26</v>
      </c>
      <c r="E4" t="s">
        <v>64</v>
      </c>
    </row>
    <row r="5" spans="2:10" ht="6" customHeight="1" x14ac:dyDescent="0.3"/>
    <row r="6" spans="2:10" x14ac:dyDescent="0.3">
      <c r="B6" t="s">
        <v>66</v>
      </c>
      <c r="C6" t="str">
        <f ca="1">_xlfn.IFNA(ADDRESS(ROW(C4),COLUMN(C4),4)&amp;": "&amp;_xlfn.FORMULATEXT(C4),"")</f>
        <v>C4: =C3-C2</v>
      </c>
    </row>
    <row r="7" spans="2:10" ht="6" customHeight="1" x14ac:dyDescent="0.3"/>
    <row r="8" spans="2:10" x14ac:dyDescent="0.3">
      <c r="B8" s="48" t="s">
        <v>71</v>
      </c>
      <c r="C8" s="20"/>
      <c r="D8" s="20"/>
      <c r="E8" s="20"/>
      <c r="F8" s="20"/>
      <c r="G8" s="20"/>
      <c r="H8" s="20"/>
      <c r="I8" s="20"/>
      <c r="J8" s="21"/>
    </row>
    <row r="9" spans="2:10" x14ac:dyDescent="0.3">
      <c r="B9" s="49" t="s">
        <v>276</v>
      </c>
      <c r="C9" s="23"/>
      <c r="D9" s="23"/>
      <c r="E9" s="23"/>
      <c r="F9" s="23"/>
      <c r="G9" s="23"/>
      <c r="H9" s="23"/>
      <c r="I9" s="23"/>
      <c r="J9" s="24"/>
    </row>
    <row r="10" spans="2:10" x14ac:dyDescent="0.3">
      <c r="B10" s="52" t="s">
        <v>67</v>
      </c>
      <c r="C10" s="27"/>
      <c r="D10" s="27"/>
      <c r="E10" s="27"/>
      <c r="F10" s="27"/>
      <c r="G10" s="27"/>
      <c r="H10" s="27"/>
      <c r="I10" s="27"/>
      <c r="J10" s="28"/>
    </row>
    <row r="11" spans="2:10" ht="6" customHeight="1" x14ac:dyDescent="0.3"/>
    <row r="12" spans="2:10" x14ac:dyDescent="0.3">
      <c r="B12" s="1" t="s">
        <v>61</v>
      </c>
      <c r="C12" s="6">
        <v>45616</v>
      </c>
      <c r="E12" t="s">
        <v>68</v>
      </c>
    </row>
    <row r="13" spans="2:10" ht="6" customHeight="1" x14ac:dyDescent="0.3"/>
    <row r="14" spans="2:10" x14ac:dyDescent="0.3">
      <c r="B14" t="s">
        <v>69</v>
      </c>
    </row>
    <row r="15" spans="2:10" ht="6" customHeight="1" x14ac:dyDescent="0.3"/>
    <row r="16" spans="2:10" x14ac:dyDescent="0.3">
      <c r="B16" s="54" t="s">
        <v>70</v>
      </c>
      <c r="C16" s="1" t="s">
        <v>75</v>
      </c>
    </row>
    <row r="17" spans="2:5" x14ac:dyDescent="0.3">
      <c r="B17" s="53">
        <v>1</v>
      </c>
      <c r="C17" s="6">
        <v>1</v>
      </c>
      <c r="E17" t="s">
        <v>177</v>
      </c>
    </row>
    <row r="18" spans="2:5" x14ac:dyDescent="0.3">
      <c r="B18" s="53">
        <v>2</v>
      </c>
      <c r="C18" s="6">
        <v>2</v>
      </c>
      <c r="E18" t="s">
        <v>178</v>
      </c>
    </row>
    <row r="19" spans="2:5" x14ac:dyDescent="0.3">
      <c r="B19" s="53">
        <v>45613</v>
      </c>
      <c r="C19" s="6">
        <v>45613</v>
      </c>
      <c r="E19" t="str">
        <f>"The date "&amp;TEXT(B19,"m/d/yyyy")&amp;" is "&amp;C19&amp;" days since Dec 31, 1899"</f>
        <v>The date 11/17/2024 is 45613 days since Dec 31, 1899</v>
      </c>
    </row>
    <row r="20" spans="2:5" x14ac:dyDescent="0.3">
      <c r="B20" s="53">
        <v>2958225</v>
      </c>
      <c r="C20" s="6">
        <v>2958225</v>
      </c>
      <c r="E20" t="str">
        <f>"The date "&amp;TEXT(B20,"m/d/yyyy")&amp;" is "&amp;C20&amp;" days since Dec 31, 1899"</f>
        <v>The date 5/5/9999 is 2958225 days since Dec 31, 1899</v>
      </c>
    </row>
    <row r="21" spans="2:5" x14ac:dyDescent="0.3">
      <c r="B21" s="7" t="s">
        <v>72</v>
      </c>
      <c r="C21" s="6" t="s">
        <v>74</v>
      </c>
      <c r="E21" t="s">
        <v>106</v>
      </c>
    </row>
    <row r="22" spans="2:5" x14ac:dyDescent="0.3">
      <c r="B22" s="7" t="s">
        <v>73</v>
      </c>
      <c r="C22" s="6" t="s">
        <v>74</v>
      </c>
      <c r="E22" t="s">
        <v>106</v>
      </c>
    </row>
    <row r="23" spans="2:5" ht="28.8" x14ac:dyDescent="0.3">
      <c r="B23" s="6" t="s">
        <v>104</v>
      </c>
      <c r="C23" s="16" t="s">
        <v>105</v>
      </c>
      <c r="E23" t="s">
        <v>179</v>
      </c>
    </row>
    <row r="24" spans="2:5" ht="7.95" customHeight="1" x14ac:dyDescent="0.3"/>
    <row r="25" spans="2:5" x14ac:dyDescent="0.3">
      <c r="B25" s="5" t="s">
        <v>76</v>
      </c>
    </row>
    <row r="26" spans="2:5" x14ac:dyDescent="0.3">
      <c r="B26" s="54" t="s">
        <v>61</v>
      </c>
      <c r="C26" s="1" t="s">
        <v>75</v>
      </c>
    </row>
    <row r="27" spans="2:5" x14ac:dyDescent="0.3">
      <c r="B27" s="13">
        <v>45613</v>
      </c>
      <c r="C27" s="6">
        <v>45613</v>
      </c>
    </row>
    <row r="28" spans="2:5" x14ac:dyDescent="0.3">
      <c r="B28" s="50">
        <v>45613</v>
      </c>
      <c r="C28" s="6">
        <v>45613</v>
      </c>
    </row>
    <row r="29" spans="2:5" x14ac:dyDescent="0.3">
      <c r="B29" s="51">
        <v>45613</v>
      </c>
      <c r="C29" s="6">
        <v>45613</v>
      </c>
    </row>
    <row r="30" spans="2:5" x14ac:dyDescent="0.3">
      <c r="B30" s="124">
        <v>45613</v>
      </c>
      <c r="C30" s="6">
        <v>45613</v>
      </c>
    </row>
    <row r="31" spans="2:5" x14ac:dyDescent="0.3">
      <c r="B31" s="125">
        <v>45613</v>
      </c>
      <c r="C31" s="6">
        <v>45613</v>
      </c>
      <c r="E31" t="s">
        <v>96</v>
      </c>
    </row>
    <row r="32" spans="2:5" x14ac:dyDescent="0.3">
      <c r="E32" t="s">
        <v>97</v>
      </c>
    </row>
    <row r="33" spans="13:14" ht="6.45" customHeight="1" x14ac:dyDescent="0.3"/>
    <row r="40" spans="13:14" x14ac:dyDescent="0.3">
      <c r="M40" s="6">
        <v>1</v>
      </c>
      <c r="N40" s="13">
        <v>45591</v>
      </c>
    </row>
    <row r="41" spans="13:14" x14ac:dyDescent="0.3">
      <c r="M41" s="6">
        <v>2</v>
      </c>
      <c r="N41" s="13">
        <v>45592</v>
      </c>
    </row>
    <row r="42" spans="13:14" x14ac:dyDescent="0.3">
      <c r="M42" s="6">
        <v>3</v>
      </c>
      <c r="N42" s="13">
        <v>45593</v>
      </c>
    </row>
    <row r="43" spans="13:14" x14ac:dyDescent="0.3">
      <c r="M43" s="6">
        <v>4</v>
      </c>
      <c r="N43" s="13">
        <v>45594</v>
      </c>
    </row>
    <row r="44" spans="13:14" x14ac:dyDescent="0.3">
      <c r="M44" s="6">
        <v>5</v>
      </c>
      <c r="N44" s="13">
        <v>45595</v>
      </c>
    </row>
    <row r="45" spans="13:14" x14ac:dyDescent="0.3">
      <c r="M45" s="6">
        <v>6</v>
      </c>
      <c r="N45" s="13">
        <v>45596</v>
      </c>
    </row>
    <row r="46" spans="13:14" x14ac:dyDescent="0.3">
      <c r="M46" s="6">
        <v>7</v>
      </c>
      <c r="N46" s="13">
        <v>45597</v>
      </c>
    </row>
    <row r="47" spans="13:14" x14ac:dyDescent="0.3">
      <c r="M47" s="6">
        <v>8</v>
      </c>
      <c r="N47" s="13">
        <v>45598</v>
      </c>
    </row>
    <row r="48" spans="13:14" x14ac:dyDescent="0.3">
      <c r="M48" s="6">
        <v>9</v>
      </c>
      <c r="N48" s="13">
        <v>45599</v>
      </c>
    </row>
    <row r="49" spans="13:14" x14ac:dyDescent="0.3">
      <c r="M49" s="6">
        <v>10</v>
      </c>
      <c r="N49" s="13">
        <v>45600</v>
      </c>
    </row>
    <row r="50" spans="13:14" x14ac:dyDescent="0.3">
      <c r="M50" s="6">
        <v>11</v>
      </c>
      <c r="N50" s="13">
        <v>45601</v>
      </c>
    </row>
    <row r="51" spans="13:14" x14ac:dyDescent="0.3">
      <c r="M51" s="6">
        <v>12</v>
      </c>
      <c r="N51" s="13">
        <v>45602</v>
      </c>
    </row>
    <row r="52" spans="13:14" x14ac:dyDescent="0.3">
      <c r="M52" s="6">
        <v>13</v>
      </c>
      <c r="N52" s="13">
        <v>45603</v>
      </c>
    </row>
    <row r="53" spans="13:14" x14ac:dyDescent="0.3">
      <c r="M53" s="6">
        <v>14</v>
      </c>
      <c r="N53" s="13">
        <v>45604</v>
      </c>
    </row>
    <row r="54" spans="13:14" x14ac:dyDescent="0.3">
      <c r="M54" s="6">
        <v>15</v>
      </c>
      <c r="N54" s="13">
        <v>45605</v>
      </c>
    </row>
    <row r="55" spans="13:14" x14ac:dyDescent="0.3">
      <c r="M55" s="6">
        <v>16</v>
      </c>
      <c r="N55" s="13">
        <v>45606</v>
      </c>
    </row>
    <row r="56" spans="13:14" x14ac:dyDescent="0.3">
      <c r="M56" s="6">
        <v>17</v>
      </c>
      <c r="N56" s="13">
        <v>45607</v>
      </c>
    </row>
    <row r="57" spans="13:14" x14ac:dyDescent="0.3">
      <c r="M57" s="6">
        <v>18</v>
      </c>
      <c r="N57" s="13">
        <v>45608</v>
      </c>
    </row>
    <row r="58" spans="13:14" x14ac:dyDescent="0.3">
      <c r="M58" s="6">
        <v>19</v>
      </c>
      <c r="N58" s="13">
        <v>45609</v>
      </c>
    </row>
    <row r="59" spans="13:14" x14ac:dyDescent="0.3">
      <c r="M59" s="6">
        <v>20</v>
      </c>
      <c r="N59" s="13">
        <v>45610</v>
      </c>
    </row>
    <row r="60" spans="13:14" x14ac:dyDescent="0.3">
      <c r="M60" s="6">
        <v>21</v>
      </c>
      <c r="N60" s="13">
        <v>45611</v>
      </c>
    </row>
    <row r="61" spans="13:14" x14ac:dyDescent="0.3">
      <c r="M61" s="6">
        <v>22</v>
      </c>
      <c r="N61" s="13">
        <v>45612</v>
      </c>
    </row>
    <row r="62" spans="13:14" x14ac:dyDescent="0.3">
      <c r="M62" s="6">
        <v>23</v>
      </c>
      <c r="N62" s="13">
        <v>45613</v>
      </c>
    </row>
    <row r="63" spans="13:14" x14ac:dyDescent="0.3">
      <c r="M63" s="6">
        <v>24</v>
      </c>
      <c r="N63" s="13">
        <v>45614</v>
      </c>
    </row>
    <row r="64" spans="13:14" x14ac:dyDescent="0.3">
      <c r="M64" s="6">
        <v>25</v>
      </c>
      <c r="N64" s="13">
        <v>45615</v>
      </c>
    </row>
    <row r="65" spans="13:14" x14ac:dyDescent="0.3">
      <c r="M65" s="6">
        <v>26</v>
      </c>
      <c r="N65" s="13">
        <v>45616</v>
      </c>
    </row>
  </sheetData>
  <printOptions headings="1"/>
  <pageMargins left="0.3" right="0.3" top="1" bottom="0.6" header="0.3" footer="0.3"/>
  <pageSetup scale="105" orientation="landscape" r:id="rId1"/>
  <headerFooter>
    <oddFooter>&amp;L&amp;F - &amp;A&amp;C&amp;P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2814-334D-4C96-B3EF-EADE3EB9F650}">
  <sheetPr>
    <tabColor rgb="FFFFFF00"/>
  </sheetPr>
  <dimension ref="B1:D25"/>
  <sheetViews>
    <sheetView showGridLines="0" zoomScaleNormal="100" workbookViewId="0">
      <selection activeCell="I19" sqref="I19"/>
    </sheetView>
  </sheetViews>
  <sheetFormatPr defaultColWidth="8.88671875" defaultRowHeight="14.4" x14ac:dyDescent="0.3"/>
  <cols>
    <col min="1" max="1" width="2.109375" customWidth="1"/>
    <col min="2" max="2" width="15.6640625" customWidth="1"/>
    <col min="3" max="3" width="15.88671875" bestFit="1" customWidth="1"/>
    <col min="4" max="4" width="27.88671875" bestFit="1" customWidth="1"/>
    <col min="5" max="5" width="3" customWidth="1"/>
    <col min="6" max="6" width="22" bestFit="1" customWidth="1"/>
  </cols>
  <sheetData>
    <row r="1" spans="2:4" ht="15" thickBot="1" x14ac:dyDescent="0.35"/>
    <row r="2" spans="2:4" x14ac:dyDescent="0.3">
      <c r="B2" s="96" t="s">
        <v>122</v>
      </c>
      <c r="C2" s="89"/>
      <c r="D2" s="90"/>
    </row>
    <row r="3" spans="2:4" x14ac:dyDescent="0.3">
      <c r="B3" s="91" t="s">
        <v>123</v>
      </c>
      <c r="C3" s="23"/>
      <c r="D3" s="92"/>
    </row>
    <row r="4" spans="2:4" x14ac:dyDescent="0.3">
      <c r="B4" s="91" t="s">
        <v>124</v>
      </c>
      <c r="C4" s="23"/>
      <c r="D4" s="92"/>
    </row>
    <row r="5" spans="2:4" x14ac:dyDescent="0.3">
      <c r="B5" s="91" t="s">
        <v>125</v>
      </c>
      <c r="C5" s="23"/>
      <c r="D5" s="92"/>
    </row>
    <row r="6" spans="2:4" ht="15" thickBot="1" x14ac:dyDescent="0.35">
      <c r="B6" s="93" t="s">
        <v>126</v>
      </c>
      <c r="C6" s="94"/>
      <c r="D6" s="95"/>
    </row>
    <row r="8" spans="2:4" x14ac:dyDescent="0.3">
      <c r="B8" s="46" t="s">
        <v>70</v>
      </c>
      <c r="C8" s="13">
        <v>45597</v>
      </c>
    </row>
    <row r="10" spans="2:4" ht="28.8" x14ac:dyDescent="0.3">
      <c r="B10" s="61" t="s">
        <v>127</v>
      </c>
      <c r="C10" s="35" t="str">
        <f>"Date = "&amp;TEXT(C8,"m/d/yyy")</f>
        <v>Date = 11/1/2024</v>
      </c>
      <c r="D10" s="35" t="s">
        <v>128</v>
      </c>
    </row>
    <row r="11" spans="2:4" x14ac:dyDescent="0.3">
      <c r="B11" s="6" t="s">
        <v>56</v>
      </c>
      <c r="C11" s="62">
        <f t="shared" ref="C11:C25" si="0">$C$8</f>
        <v>45597</v>
      </c>
      <c r="D11" s="6" t="s">
        <v>129</v>
      </c>
    </row>
    <row r="12" spans="2:4" x14ac:dyDescent="0.3">
      <c r="B12" s="6" t="s">
        <v>130</v>
      </c>
      <c r="C12" s="63">
        <f t="shared" si="0"/>
        <v>45597</v>
      </c>
      <c r="D12" s="6" t="s">
        <v>131</v>
      </c>
    </row>
    <row r="13" spans="2:4" x14ac:dyDescent="0.3">
      <c r="B13" s="6" t="s">
        <v>132</v>
      </c>
      <c r="C13" s="64">
        <f t="shared" si="0"/>
        <v>45597</v>
      </c>
      <c r="D13" s="6" t="s">
        <v>133</v>
      </c>
    </row>
    <row r="14" spans="2:4" x14ac:dyDescent="0.3">
      <c r="B14" s="6" t="s">
        <v>134</v>
      </c>
      <c r="C14" s="65">
        <f t="shared" si="0"/>
        <v>45597</v>
      </c>
      <c r="D14" s="6" t="s">
        <v>135</v>
      </c>
    </row>
    <row r="15" spans="2:4" x14ac:dyDescent="0.3">
      <c r="B15" s="6" t="s">
        <v>136</v>
      </c>
      <c r="C15" s="66">
        <f t="shared" si="0"/>
        <v>45597</v>
      </c>
      <c r="D15" s="6" t="s">
        <v>137</v>
      </c>
    </row>
    <row r="16" spans="2:4" x14ac:dyDescent="0.3">
      <c r="B16" s="6" t="s">
        <v>138</v>
      </c>
      <c r="C16" s="67">
        <f t="shared" si="0"/>
        <v>45597</v>
      </c>
      <c r="D16" s="6" t="s">
        <v>139</v>
      </c>
    </row>
    <row r="17" spans="2:4" x14ac:dyDescent="0.3">
      <c r="B17" s="6" t="s">
        <v>140</v>
      </c>
      <c r="C17" s="68">
        <f t="shared" si="0"/>
        <v>45597</v>
      </c>
      <c r="D17" s="6" t="s">
        <v>141</v>
      </c>
    </row>
    <row r="18" spans="2:4" x14ac:dyDescent="0.3">
      <c r="B18" s="6" t="s">
        <v>142</v>
      </c>
      <c r="C18" s="69">
        <f t="shared" si="0"/>
        <v>45597</v>
      </c>
      <c r="D18" s="6" t="s">
        <v>143</v>
      </c>
    </row>
    <row r="19" spans="2:4" x14ac:dyDescent="0.3">
      <c r="B19" s="6" t="s">
        <v>144</v>
      </c>
      <c r="C19" s="70">
        <f t="shared" si="0"/>
        <v>45597</v>
      </c>
      <c r="D19" s="6" t="s">
        <v>145</v>
      </c>
    </row>
    <row r="20" spans="2:4" x14ac:dyDescent="0.3">
      <c r="B20" s="6" t="s">
        <v>146</v>
      </c>
      <c r="C20" s="70">
        <f t="shared" si="0"/>
        <v>45597</v>
      </c>
      <c r="D20" s="6" t="s">
        <v>145</v>
      </c>
    </row>
    <row r="21" spans="2:4" x14ac:dyDescent="0.3">
      <c r="B21" s="6" t="s">
        <v>147</v>
      </c>
      <c r="C21" s="71">
        <f t="shared" si="0"/>
        <v>45597</v>
      </c>
      <c r="D21" s="6" t="s">
        <v>148</v>
      </c>
    </row>
    <row r="22" spans="2:4" x14ac:dyDescent="0.3">
      <c r="B22" s="6" t="s">
        <v>149</v>
      </c>
      <c r="C22" s="71">
        <f t="shared" si="0"/>
        <v>45597</v>
      </c>
      <c r="D22" s="6" t="s">
        <v>148</v>
      </c>
    </row>
    <row r="23" spans="2:4" x14ac:dyDescent="0.3">
      <c r="B23" s="6" t="s">
        <v>150</v>
      </c>
      <c r="C23" s="13">
        <f t="shared" si="0"/>
        <v>45597</v>
      </c>
      <c r="D23" s="6" t="s">
        <v>151</v>
      </c>
    </row>
    <row r="24" spans="2:4" x14ac:dyDescent="0.3">
      <c r="B24" s="6" t="s">
        <v>152</v>
      </c>
      <c r="C24" s="72">
        <f t="shared" si="0"/>
        <v>45597</v>
      </c>
      <c r="D24" s="6" t="s">
        <v>153</v>
      </c>
    </row>
    <row r="25" spans="2:4" x14ac:dyDescent="0.3">
      <c r="B25" s="6" t="s">
        <v>154</v>
      </c>
      <c r="C25" s="73">
        <f t="shared" si="0"/>
        <v>45597</v>
      </c>
      <c r="D25" s="6" t="s">
        <v>155</v>
      </c>
    </row>
  </sheetData>
  <pageMargins left="0.3" right="0.3" top="0.5" bottom="0.6" header="0.3" footer="0.3"/>
  <pageSetup scale="125" orientation="landscape" r:id="rId1"/>
  <headerFooter>
    <oddFooter>&amp;L&amp;F - &amp;A&amp;C&amp;P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5698-78A7-4424-85DF-D57E3AD2A8DF}">
  <sheetPr>
    <tabColor rgb="FF0000FF"/>
  </sheetPr>
  <dimension ref="B2:I9"/>
  <sheetViews>
    <sheetView zoomScaleNormal="100" workbookViewId="0"/>
  </sheetViews>
  <sheetFormatPr defaultColWidth="8.88671875" defaultRowHeight="14.4" x14ac:dyDescent="0.3"/>
  <cols>
    <col min="1" max="1" width="1.6640625" customWidth="1"/>
    <col min="2" max="2" width="39.88671875" customWidth="1"/>
    <col min="3" max="4" width="11.33203125" customWidth="1"/>
    <col min="5" max="5" width="7.88671875" customWidth="1"/>
    <col min="6" max="6" width="1.44140625" customWidth="1"/>
    <col min="7" max="7" width="2" bestFit="1" customWidth="1"/>
    <col min="8" max="8" width="13.33203125" customWidth="1"/>
    <col min="9" max="9" width="26" customWidth="1"/>
  </cols>
  <sheetData>
    <row r="2" spans="2:9" ht="17.399999999999999" x14ac:dyDescent="0.35">
      <c r="B2" s="10" t="s">
        <v>14</v>
      </c>
      <c r="C2" s="11"/>
      <c r="D2" s="11"/>
      <c r="E2" s="11"/>
      <c r="F2" s="11"/>
      <c r="G2" s="11"/>
      <c r="H2" s="11"/>
      <c r="I2" s="12"/>
    </row>
    <row r="4" spans="2:9" x14ac:dyDescent="0.3">
      <c r="B4" s="1" t="s">
        <v>0</v>
      </c>
      <c r="C4" s="1" t="s">
        <v>1</v>
      </c>
      <c r="D4" s="1" t="s">
        <v>2</v>
      </c>
      <c r="E4" s="1" t="s">
        <v>15</v>
      </c>
      <c r="H4" s="1" t="s">
        <v>3</v>
      </c>
      <c r="I4" s="1" t="s">
        <v>16</v>
      </c>
    </row>
    <row r="5" spans="2:9" x14ac:dyDescent="0.3">
      <c r="B5" s="3" t="s">
        <v>4</v>
      </c>
      <c r="C5" s="13">
        <v>45519</v>
      </c>
      <c r="D5" s="13">
        <v>45561</v>
      </c>
      <c r="E5" s="4"/>
      <c r="G5" s="5">
        <v>1</v>
      </c>
      <c r="H5" s="6" t="str">
        <f ca="1">_xlfn.IFNA(ADDRESS(ROW(E5),COLUMN(E5),4)&amp;": "&amp;_xlfn.FORMULATEXT(E5),"")</f>
        <v/>
      </c>
      <c r="I5" s="135" t="s">
        <v>17</v>
      </c>
    </row>
    <row r="6" spans="2:9" x14ac:dyDescent="0.3">
      <c r="B6" s="3" t="s">
        <v>5</v>
      </c>
      <c r="C6" s="13">
        <v>45350</v>
      </c>
      <c r="D6" s="13">
        <v>45352</v>
      </c>
      <c r="E6" s="4"/>
      <c r="G6" s="5">
        <v>2</v>
      </c>
      <c r="H6" s="6" t="str">
        <f t="shared" ref="H6:H9" ca="1" si="0">_xlfn.IFNA(ADDRESS(ROW(E6),COLUMN(E6),4)&amp;": "&amp;_xlfn.FORMULATEXT(E6),"")</f>
        <v/>
      </c>
      <c r="I6" s="136"/>
    </row>
    <row r="7" spans="2:9" x14ac:dyDescent="0.3">
      <c r="B7" s="3" t="s">
        <v>6</v>
      </c>
      <c r="C7" s="13">
        <v>45540</v>
      </c>
      <c r="D7" s="13">
        <f>C7+120</f>
        <v>45660</v>
      </c>
      <c r="E7" s="4"/>
      <c r="G7" s="5">
        <v>3</v>
      </c>
      <c r="H7" s="6" t="str">
        <f t="shared" ca="1" si="0"/>
        <v/>
      </c>
      <c r="I7" s="137"/>
    </row>
    <row r="8" spans="2:9" ht="30" customHeight="1" x14ac:dyDescent="0.3">
      <c r="B8" s="3" t="s">
        <v>7</v>
      </c>
      <c r="C8" s="13">
        <v>45653</v>
      </c>
      <c r="D8" s="13">
        <v>45717</v>
      </c>
      <c r="E8" s="4"/>
      <c r="G8" s="5">
        <v>4</v>
      </c>
      <c r="H8" s="6" t="str">
        <f t="shared" ca="1" si="0"/>
        <v/>
      </c>
      <c r="I8" s="135" t="s">
        <v>18</v>
      </c>
    </row>
    <row r="9" spans="2:9" x14ac:dyDescent="0.3">
      <c r="B9" s="3" t="s">
        <v>77</v>
      </c>
      <c r="C9" s="13">
        <v>45519</v>
      </c>
      <c r="D9" s="13">
        <v>45561</v>
      </c>
      <c r="E9" s="4"/>
      <c r="G9" s="5">
        <v>5</v>
      </c>
      <c r="H9" s="6" t="str">
        <f t="shared" ca="1" si="0"/>
        <v/>
      </c>
      <c r="I9" s="137"/>
    </row>
  </sheetData>
  <mergeCells count="2">
    <mergeCell ref="I5:I7"/>
    <mergeCell ref="I8:I9"/>
  </mergeCells>
  <phoneticPr fontId="12" type="noConversion"/>
  <printOptions headings="1"/>
  <pageMargins left="0.3" right="0.3" top="0.5" bottom="0.6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CB98-557B-4C25-B20E-3D5DCA509533}">
  <sheetPr>
    <tabColor rgb="FFFF0000"/>
  </sheetPr>
  <dimension ref="B2:I9"/>
  <sheetViews>
    <sheetView zoomScale="115" zoomScaleNormal="115" workbookViewId="0">
      <selection activeCell="I19" sqref="I19"/>
    </sheetView>
  </sheetViews>
  <sheetFormatPr defaultColWidth="8.88671875" defaultRowHeight="14.4" x14ac:dyDescent="0.3"/>
  <cols>
    <col min="1" max="1" width="1.6640625" customWidth="1"/>
    <col min="2" max="2" width="39.88671875" customWidth="1"/>
    <col min="3" max="4" width="11.33203125" customWidth="1"/>
    <col min="5" max="5" width="7.88671875" customWidth="1"/>
    <col min="6" max="6" width="1.44140625" customWidth="1"/>
    <col min="7" max="7" width="2" bestFit="1" customWidth="1"/>
    <col min="8" max="8" width="13.33203125" customWidth="1"/>
    <col min="9" max="9" width="26" customWidth="1"/>
  </cols>
  <sheetData>
    <row r="2" spans="2:9" ht="17.399999999999999" x14ac:dyDescent="0.35">
      <c r="B2" s="10" t="s">
        <v>14</v>
      </c>
      <c r="C2" s="11"/>
      <c r="D2" s="11"/>
      <c r="E2" s="11"/>
      <c r="F2" s="11"/>
      <c r="G2" s="11"/>
      <c r="H2" s="11"/>
      <c r="I2" s="12"/>
    </row>
    <row r="4" spans="2:9" x14ac:dyDescent="0.3">
      <c r="B4" s="1" t="s">
        <v>0</v>
      </c>
      <c r="C4" s="1" t="s">
        <v>1</v>
      </c>
      <c r="D4" s="1" t="s">
        <v>2</v>
      </c>
      <c r="E4" s="1" t="s">
        <v>15</v>
      </c>
      <c r="H4" s="1" t="s">
        <v>3</v>
      </c>
      <c r="I4" s="1" t="s">
        <v>16</v>
      </c>
    </row>
    <row r="5" spans="2:9" x14ac:dyDescent="0.3">
      <c r="B5" s="3" t="s">
        <v>4</v>
      </c>
      <c r="C5" s="13">
        <v>45519</v>
      </c>
      <c r="D5" s="13">
        <v>45561</v>
      </c>
      <c r="E5" s="4">
        <f>D5-C5</f>
        <v>42</v>
      </c>
      <c r="G5" s="5">
        <v>1</v>
      </c>
      <c r="H5" s="6" t="str">
        <f ca="1">_xlfn.IFNA(ADDRESS(ROW(E5),COLUMN(E5),4)&amp;": "&amp;_xlfn.FORMULATEXT(E5),"")</f>
        <v>E5: =D5-C5</v>
      </c>
      <c r="I5" s="135" t="s">
        <v>17</v>
      </c>
    </row>
    <row r="6" spans="2:9" x14ac:dyDescent="0.3">
      <c r="B6" s="3" t="s">
        <v>5</v>
      </c>
      <c r="C6" s="13">
        <v>45350</v>
      </c>
      <c r="D6" s="13">
        <v>45352</v>
      </c>
      <c r="E6" s="4">
        <f t="shared" ref="E6:E7" si="0">D6-C6</f>
        <v>2</v>
      </c>
      <c r="G6" s="5">
        <v>2</v>
      </c>
      <c r="H6" s="6" t="str">
        <f t="shared" ref="H6:H9" ca="1" si="1">_xlfn.IFNA(ADDRESS(ROW(E6),COLUMN(E6),4)&amp;": "&amp;_xlfn.FORMULATEXT(E6),"")</f>
        <v>E6: =D6-C6</v>
      </c>
      <c r="I6" s="136"/>
    </row>
    <row r="7" spans="2:9" x14ac:dyDescent="0.3">
      <c r="B7" s="3" t="s">
        <v>6</v>
      </c>
      <c r="C7" s="13">
        <v>45540</v>
      </c>
      <c r="D7" s="13">
        <f>C7+120</f>
        <v>45660</v>
      </c>
      <c r="E7" s="4">
        <f t="shared" si="0"/>
        <v>120</v>
      </c>
      <c r="G7" s="5">
        <v>3</v>
      </c>
      <c r="H7" s="6" t="str">
        <f t="shared" ca="1" si="1"/>
        <v>E7: =D7-C7</v>
      </c>
      <c r="I7" s="137"/>
    </row>
    <row r="8" spans="2:9" ht="30" customHeight="1" x14ac:dyDescent="0.3">
      <c r="B8" s="3" t="s">
        <v>7</v>
      </c>
      <c r="C8" s="13">
        <v>45653</v>
      </c>
      <c r="D8" s="13">
        <v>45717</v>
      </c>
      <c r="E8" s="4">
        <f>D8-C8+1</f>
        <v>65</v>
      </c>
      <c r="G8" s="5">
        <v>4</v>
      </c>
      <c r="H8" s="6" t="str">
        <f t="shared" ca="1" si="1"/>
        <v>E8: =D8-C8+1</v>
      </c>
      <c r="I8" s="135" t="s">
        <v>18</v>
      </c>
    </row>
    <row r="9" spans="2:9" x14ac:dyDescent="0.3">
      <c r="B9" s="3" t="s">
        <v>77</v>
      </c>
      <c r="C9" s="13">
        <v>45519</v>
      </c>
      <c r="D9" s="13">
        <v>45561</v>
      </c>
      <c r="E9" s="4">
        <f>D9-C9+1</f>
        <v>43</v>
      </c>
      <c r="G9" s="5">
        <v>5</v>
      </c>
      <c r="H9" s="6" t="str">
        <f t="shared" ca="1" si="1"/>
        <v>E9: =D9-C9+1</v>
      </c>
      <c r="I9" s="137"/>
    </row>
  </sheetData>
  <mergeCells count="2">
    <mergeCell ref="I5:I7"/>
    <mergeCell ref="I8:I9"/>
  </mergeCells>
  <printOptions headings="1"/>
  <pageMargins left="0.3" right="0.3" top="0.5" bottom="0.6" header="0.3" footer="0.3"/>
  <pageSetup orientation="landscape" r:id="rId1"/>
  <headerFooter>
    <oddFooter>&amp;L&amp;F - &amp;A 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9345-65F9-4C88-965B-D56121F61754}">
  <sheetPr>
    <tabColor rgb="FF0000FF"/>
  </sheetPr>
  <dimension ref="B2:N19"/>
  <sheetViews>
    <sheetView zoomScaleNormal="100" workbookViewId="0"/>
  </sheetViews>
  <sheetFormatPr defaultColWidth="8.88671875" defaultRowHeight="14.4" x14ac:dyDescent="0.3"/>
  <cols>
    <col min="1" max="1" width="1.44140625" customWidth="1"/>
    <col min="2" max="2" width="27.6640625" customWidth="1"/>
    <col min="3" max="4" width="10.109375" customWidth="1"/>
    <col min="5" max="5" width="7.6640625" customWidth="1"/>
    <col min="6" max="6" width="1.44140625" customWidth="1"/>
    <col min="7" max="7" width="2" bestFit="1" customWidth="1"/>
    <col min="8" max="8" width="42.33203125" customWidth="1"/>
    <col min="9" max="9" width="1.44140625" customWidth="1"/>
    <col min="10" max="10" width="14.44140625" customWidth="1"/>
    <col min="12" max="12" width="14" bestFit="1" customWidth="1"/>
    <col min="13" max="13" width="2.44140625" customWidth="1"/>
  </cols>
  <sheetData>
    <row r="2" spans="2:14" ht="17.399999999999999" x14ac:dyDescent="0.35">
      <c r="B2" s="10" t="s">
        <v>79</v>
      </c>
      <c r="C2" s="11"/>
      <c r="D2" s="11"/>
      <c r="E2" s="11"/>
      <c r="F2" s="11"/>
      <c r="G2" s="11"/>
      <c r="H2" s="11"/>
      <c r="I2" s="11"/>
      <c r="J2" s="12"/>
      <c r="L2" s="5" t="s">
        <v>78</v>
      </c>
      <c r="N2" s="5" t="s">
        <v>277</v>
      </c>
    </row>
    <row r="4" spans="2:14" x14ac:dyDescent="0.3">
      <c r="B4" s="1" t="s">
        <v>0</v>
      </c>
      <c r="C4" s="1" t="s">
        <v>1</v>
      </c>
      <c r="D4" s="1" t="s">
        <v>2</v>
      </c>
      <c r="E4" s="1" t="s">
        <v>15</v>
      </c>
      <c r="H4" s="2" t="s">
        <v>3</v>
      </c>
      <c r="I4" s="5"/>
      <c r="J4" s="15" t="s">
        <v>19</v>
      </c>
    </row>
    <row r="5" spans="2:14" ht="31.5" customHeight="1" x14ac:dyDescent="0.3">
      <c r="B5" s="16" t="s">
        <v>20</v>
      </c>
      <c r="C5" s="13">
        <v>45312</v>
      </c>
      <c r="D5" s="13">
        <v>45365</v>
      </c>
      <c r="E5" s="4"/>
      <c r="G5" s="5">
        <v>6</v>
      </c>
      <c r="H5" s="6" t="str">
        <f ca="1">_xlfn.IFNA(ADDRESS(ROW(E5),COLUMN(E5),4)&amp;": "&amp;_xlfn.FORMULATEXT(E5),"")</f>
        <v/>
      </c>
      <c r="J5" s="17">
        <v>45306</v>
      </c>
    </row>
    <row r="6" spans="2:14" ht="28.8" x14ac:dyDescent="0.3">
      <c r="B6" s="16" t="s">
        <v>21</v>
      </c>
      <c r="C6" s="13">
        <v>45312</v>
      </c>
      <c r="D6" s="13">
        <v>45365</v>
      </c>
      <c r="E6" s="4"/>
      <c r="G6" s="5">
        <v>7</v>
      </c>
      <c r="H6" s="6" t="str">
        <f ca="1">_xlfn.IFNA(ADDRESS(ROW(E6),COLUMN(E6),4)&amp;": "&amp;_xlfn.FORMULATEXT(E6),"")</f>
        <v/>
      </c>
      <c r="J6" s="17">
        <f>J5+7</f>
        <v>45313</v>
      </c>
    </row>
    <row r="7" spans="2:14" x14ac:dyDescent="0.3">
      <c r="J7" s="17">
        <f>J6+7</f>
        <v>45320</v>
      </c>
    </row>
    <row r="8" spans="2:14" x14ac:dyDescent="0.3">
      <c r="C8" s="18" t="s">
        <v>16</v>
      </c>
      <c r="J8" s="17">
        <v>45338</v>
      </c>
    </row>
    <row r="9" spans="2:14" x14ac:dyDescent="0.3">
      <c r="C9" s="19" t="s">
        <v>22</v>
      </c>
      <c r="D9" s="20"/>
      <c r="E9" s="20"/>
      <c r="F9" s="20"/>
      <c r="G9" s="20"/>
      <c r="H9" s="21"/>
    </row>
    <row r="10" spans="2:14" x14ac:dyDescent="0.3">
      <c r="C10" s="22" t="s">
        <v>102</v>
      </c>
      <c r="D10" s="23"/>
      <c r="E10" s="23"/>
      <c r="F10" s="23"/>
      <c r="G10" s="23"/>
      <c r="H10" s="24"/>
      <c r="I10" s="5"/>
    </row>
    <row r="11" spans="2:14" x14ac:dyDescent="0.3">
      <c r="C11" s="22" t="s">
        <v>23</v>
      </c>
      <c r="D11" s="23"/>
      <c r="E11" s="23"/>
      <c r="F11" s="23"/>
      <c r="G11" s="23"/>
      <c r="H11" s="24"/>
    </row>
    <row r="12" spans="2:14" x14ac:dyDescent="0.3">
      <c r="C12" s="22" t="s">
        <v>24</v>
      </c>
      <c r="D12" s="23"/>
      <c r="E12" s="23"/>
      <c r="F12" s="23"/>
      <c r="G12" s="23"/>
      <c r="H12" s="24"/>
    </row>
    <row r="13" spans="2:14" x14ac:dyDescent="0.3">
      <c r="C13" s="22" t="s">
        <v>25</v>
      </c>
      <c r="D13" s="23"/>
      <c r="E13" s="23"/>
      <c r="F13" s="23"/>
      <c r="G13" s="23"/>
      <c r="H13" s="24"/>
    </row>
    <row r="14" spans="2:14" x14ac:dyDescent="0.3">
      <c r="C14" s="26" t="s">
        <v>26</v>
      </c>
      <c r="D14" s="27"/>
      <c r="E14" s="27"/>
      <c r="F14" s="27"/>
      <c r="G14" s="27"/>
      <c r="H14" s="28"/>
    </row>
    <row r="17" spans="10:10" x14ac:dyDescent="0.3">
      <c r="J17" s="25"/>
    </row>
    <row r="18" spans="10:10" x14ac:dyDescent="0.3">
      <c r="J18" s="25"/>
    </row>
    <row r="19" spans="10:10" x14ac:dyDescent="0.3">
      <c r="J19" s="25"/>
    </row>
  </sheetData>
  <printOptions headings="1"/>
  <pageMargins left="0.3" right="0.3" top="0.5" bottom="0.6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ECE0-E63C-4416-8D20-FCB7E791D91C}">
  <sheetPr>
    <tabColor rgb="FFFF0000"/>
  </sheetPr>
  <dimension ref="B2:N56"/>
  <sheetViews>
    <sheetView zoomScaleNormal="100" workbookViewId="0">
      <selection activeCell="I19" sqref="I19"/>
    </sheetView>
  </sheetViews>
  <sheetFormatPr defaultColWidth="8.88671875" defaultRowHeight="14.4" x14ac:dyDescent="0.3"/>
  <cols>
    <col min="1" max="1" width="1.44140625" customWidth="1"/>
    <col min="2" max="2" width="27.6640625" customWidth="1"/>
    <col min="3" max="4" width="10.109375" customWidth="1"/>
    <col min="5" max="5" width="7.6640625" customWidth="1"/>
    <col min="6" max="6" width="1.44140625" customWidth="1"/>
    <col min="7" max="7" width="2" bestFit="1" customWidth="1"/>
    <col min="8" max="8" width="42.33203125" customWidth="1"/>
    <col min="9" max="9" width="1.44140625" customWidth="1"/>
    <col min="10" max="10" width="14.44140625" customWidth="1"/>
    <col min="12" max="12" width="14" bestFit="1" customWidth="1"/>
    <col min="13" max="13" width="2.44140625" customWidth="1"/>
  </cols>
  <sheetData>
    <row r="2" spans="2:14" ht="17.399999999999999" x14ac:dyDescent="0.35">
      <c r="B2" s="10" t="s">
        <v>79</v>
      </c>
      <c r="C2" s="11"/>
      <c r="D2" s="11"/>
      <c r="E2" s="11"/>
      <c r="F2" s="11"/>
      <c r="G2" s="11"/>
      <c r="H2" s="11"/>
      <c r="I2" s="11"/>
      <c r="J2" s="12"/>
      <c r="L2" s="5" t="s">
        <v>78</v>
      </c>
      <c r="N2" s="5" t="s">
        <v>277</v>
      </c>
    </row>
    <row r="3" spans="2:14" x14ac:dyDescent="0.3">
      <c r="L3" s="25">
        <v>45312</v>
      </c>
      <c r="N3">
        <f>COUNT(L3:L56)</f>
        <v>38</v>
      </c>
    </row>
    <row r="4" spans="2:14" x14ac:dyDescent="0.3">
      <c r="B4" s="1" t="s">
        <v>0</v>
      </c>
      <c r="C4" s="1" t="s">
        <v>1</v>
      </c>
      <c r="D4" s="1" t="s">
        <v>2</v>
      </c>
      <c r="E4" s="1" t="s">
        <v>15</v>
      </c>
      <c r="H4" s="2" t="s">
        <v>3</v>
      </c>
      <c r="I4" s="5"/>
      <c r="J4" s="15" t="s">
        <v>19</v>
      </c>
      <c r="L4" s="25"/>
    </row>
    <row r="5" spans="2:14" ht="31.5" customHeight="1" x14ac:dyDescent="0.3">
      <c r="B5" s="16" t="s">
        <v>20</v>
      </c>
      <c r="C5" s="13">
        <v>45312</v>
      </c>
      <c r="D5" s="13">
        <v>45365</v>
      </c>
      <c r="E5" s="4">
        <f>NETWORKDAYS.INTL(C5,D5,7,J5:J8)</f>
        <v>38</v>
      </c>
      <c r="G5" s="5">
        <v>6</v>
      </c>
      <c r="H5" s="6" t="str">
        <f ca="1">_xlfn.IFNA(ADDRESS(ROW(E5),COLUMN(E5),4)&amp;": "&amp;_xlfn.FORMULATEXT(E5),"")</f>
        <v>E5: =NETWORKDAYS.INTL(C5,D5,7,J5:J8)</v>
      </c>
      <c r="J5" s="17">
        <v>45306</v>
      </c>
      <c r="L5" s="25">
        <v>45314</v>
      </c>
    </row>
    <row r="6" spans="2:14" ht="28.8" x14ac:dyDescent="0.3">
      <c r="B6" s="16" t="s">
        <v>21</v>
      </c>
      <c r="C6" s="13">
        <v>45312</v>
      </c>
      <c r="D6" s="13">
        <v>45365</v>
      </c>
      <c r="E6" s="4">
        <f>NETWORKDAYS.INTL(C6,D6,"0010001",J5:J8)</f>
        <v>35</v>
      </c>
      <c r="G6" s="5">
        <v>7</v>
      </c>
      <c r="H6" s="6" t="str">
        <f ca="1">_xlfn.IFNA(ADDRESS(ROW(E6),COLUMN(E6),4)&amp;": "&amp;_xlfn.FORMULATEXT(E6),"")</f>
        <v>E6: =NETWORKDAYS.INTL(C6,D6,"0010001",J5:J8)</v>
      </c>
      <c r="J6" s="17">
        <f>J5+7</f>
        <v>45313</v>
      </c>
      <c r="L6" s="25">
        <v>45315</v>
      </c>
    </row>
    <row r="7" spans="2:14" x14ac:dyDescent="0.3">
      <c r="J7" s="17">
        <f>J6+7</f>
        <v>45320</v>
      </c>
      <c r="L7" s="25">
        <v>45316</v>
      </c>
    </row>
    <row r="8" spans="2:14" x14ac:dyDescent="0.3">
      <c r="C8" s="18" t="s">
        <v>16</v>
      </c>
      <c r="J8" s="17">
        <v>45338</v>
      </c>
      <c r="L8" s="25"/>
    </row>
    <row r="9" spans="2:14" x14ac:dyDescent="0.3">
      <c r="C9" s="19" t="s">
        <v>22</v>
      </c>
      <c r="D9" s="20"/>
      <c r="E9" s="20"/>
      <c r="F9" s="20"/>
      <c r="G9" s="20"/>
      <c r="H9" s="21"/>
      <c r="L9" s="25"/>
    </row>
    <row r="10" spans="2:14" x14ac:dyDescent="0.3">
      <c r="C10" s="22" t="s">
        <v>102</v>
      </c>
      <c r="D10" s="23"/>
      <c r="E10" s="23"/>
      <c r="F10" s="23"/>
      <c r="G10" s="23"/>
      <c r="H10" s="24"/>
      <c r="I10" s="5"/>
      <c r="L10" s="25">
        <v>45319</v>
      </c>
    </row>
    <row r="11" spans="2:14" x14ac:dyDescent="0.3">
      <c r="C11" s="22" t="s">
        <v>23</v>
      </c>
      <c r="D11" s="23"/>
      <c r="E11" s="23"/>
      <c r="F11" s="23"/>
      <c r="G11" s="23"/>
      <c r="H11" s="24"/>
      <c r="L11" s="25"/>
    </row>
    <row r="12" spans="2:14" x14ac:dyDescent="0.3">
      <c r="C12" s="22" t="s">
        <v>24</v>
      </c>
      <c r="D12" s="23"/>
      <c r="E12" s="23"/>
      <c r="F12" s="23"/>
      <c r="G12" s="23"/>
      <c r="H12" s="24"/>
      <c r="L12" s="25">
        <v>45321</v>
      </c>
    </row>
    <row r="13" spans="2:14" x14ac:dyDescent="0.3">
      <c r="C13" s="22" t="s">
        <v>25</v>
      </c>
      <c r="D13" s="23"/>
      <c r="E13" s="23"/>
      <c r="F13" s="23"/>
      <c r="G13" s="23"/>
      <c r="H13" s="24"/>
      <c r="L13" s="25">
        <v>45322</v>
      </c>
    </row>
    <row r="14" spans="2:14" x14ac:dyDescent="0.3">
      <c r="C14" s="26" t="s">
        <v>26</v>
      </c>
      <c r="D14" s="27"/>
      <c r="E14" s="27"/>
      <c r="F14" s="27"/>
      <c r="G14" s="27"/>
      <c r="H14" s="28"/>
      <c r="L14" s="25">
        <v>45323</v>
      </c>
    </row>
    <row r="15" spans="2:14" x14ac:dyDescent="0.3">
      <c r="L15" s="25"/>
    </row>
    <row r="16" spans="2:14" x14ac:dyDescent="0.3">
      <c r="L16" s="25"/>
    </row>
    <row r="17" spans="10:12" x14ac:dyDescent="0.3">
      <c r="J17" s="25"/>
      <c r="L17" s="25">
        <v>45326</v>
      </c>
    </row>
    <row r="18" spans="10:12" x14ac:dyDescent="0.3">
      <c r="J18" s="25"/>
      <c r="L18" s="25">
        <v>45327</v>
      </c>
    </row>
    <row r="19" spans="10:12" x14ac:dyDescent="0.3">
      <c r="J19" s="25"/>
      <c r="L19" s="25">
        <v>45328</v>
      </c>
    </row>
    <row r="20" spans="10:12" x14ac:dyDescent="0.3">
      <c r="L20" s="25">
        <v>45329</v>
      </c>
    </row>
    <row r="21" spans="10:12" x14ac:dyDescent="0.3">
      <c r="L21" s="25">
        <v>45330</v>
      </c>
    </row>
    <row r="22" spans="10:12" x14ac:dyDescent="0.3">
      <c r="L22" s="25"/>
    </row>
    <row r="23" spans="10:12" x14ac:dyDescent="0.3">
      <c r="L23" s="25"/>
    </row>
    <row r="24" spans="10:12" x14ac:dyDescent="0.3">
      <c r="L24" s="25">
        <v>45333</v>
      </c>
    </row>
    <row r="25" spans="10:12" x14ac:dyDescent="0.3">
      <c r="L25" s="25">
        <v>45334</v>
      </c>
    </row>
    <row r="26" spans="10:12" x14ac:dyDescent="0.3">
      <c r="L26" s="25">
        <v>45335</v>
      </c>
    </row>
    <row r="27" spans="10:12" x14ac:dyDescent="0.3">
      <c r="L27" s="25">
        <v>45336</v>
      </c>
    </row>
    <row r="28" spans="10:12" x14ac:dyDescent="0.3">
      <c r="L28" s="25">
        <v>45337</v>
      </c>
    </row>
    <row r="29" spans="10:12" x14ac:dyDescent="0.3">
      <c r="L29" s="25"/>
    </row>
    <row r="30" spans="10:12" x14ac:dyDescent="0.3">
      <c r="L30" s="25"/>
    </row>
    <row r="31" spans="10:12" x14ac:dyDescent="0.3">
      <c r="L31" s="25">
        <v>45340</v>
      </c>
    </row>
    <row r="32" spans="10:12" x14ac:dyDescent="0.3">
      <c r="L32" s="25">
        <v>45341</v>
      </c>
    </row>
    <row r="33" spans="12:12" x14ac:dyDescent="0.3">
      <c r="L33" s="25">
        <v>45342</v>
      </c>
    </row>
    <row r="34" spans="12:12" x14ac:dyDescent="0.3">
      <c r="L34" s="25">
        <v>45343</v>
      </c>
    </row>
    <row r="35" spans="12:12" x14ac:dyDescent="0.3">
      <c r="L35" s="25">
        <v>45344</v>
      </c>
    </row>
    <row r="36" spans="12:12" x14ac:dyDescent="0.3">
      <c r="L36" s="25"/>
    </row>
    <row r="37" spans="12:12" x14ac:dyDescent="0.3">
      <c r="L37" s="25"/>
    </row>
    <row r="38" spans="12:12" x14ac:dyDescent="0.3">
      <c r="L38" s="25">
        <v>45347</v>
      </c>
    </row>
    <row r="39" spans="12:12" x14ac:dyDescent="0.3">
      <c r="L39" s="25">
        <v>45348</v>
      </c>
    </row>
    <row r="40" spans="12:12" x14ac:dyDescent="0.3">
      <c r="L40" s="25">
        <v>45349</v>
      </c>
    </row>
    <row r="41" spans="12:12" x14ac:dyDescent="0.3">
      <c r="L41" s="25">
        <v>45350</v>
      </c>
    </row>
    <row r="42" spans="12:12" x14ac:dyDescent="0.3">
      <c r="L42" s="25">
        <v>45351</v>
      </c>
    </row>
    <row r="43" spans="12:12" x14ac:dyDescent="0.3">
      <c r="L43" s="25"/>
    </row>
    <row r="44" spans="12:12" x14ac:dyDescent="0.3">
      <c r="L44" s="25"/>
    </row>
    <row r="45" spans="12:12" x14ac:dyDescent="0.3">
      <c r="L45" s="25">
        <v>45354</v>
      </c>
    </row>
    <row r="46" spans="12:12" x14ac:dyDescent="0.3">
      <c r="L46" s="25">
        <v>45355</v>
      </c>
    </row>
    <row r="47" spans="12:12" x14ac:dyDescent="0.3">
      <c r="L47" s="25">
        <v>45356</v>
      </c>
    </row>
    <row r="48" spans="12:12" x14ac:dyDescent="0.3">
      <c r="L48" s="25">
        <v>45357</v>
      </c>
    </row>
    <row r="49" spans="12:12" x14ac:dyDescent="0.3">
      <c r="L49" s="25">
        <v>45358</v>
      </c>
    </row>
    <row r="50" spans="12:12" x14ac:dyDescent="0.3">
      <c r="L50" s="25"/>
    </row>
    <row r="51" spans="12:12" x14ac:dyDescent="0.3">
      <c r="L51" s="25"/>
    </row>
    <row r="52" spans="12:12" x14ac:dyDescent="0.3">
      <c r="L52" s="25">
        <v>45361</v>
      </c>
    </row>
    <row r="53" spans="12:12" x14ac:dyDescent="0.3">
      <c r="L53" s="25">
        <v>45362</v>
      </c>
    </row>
    <row r="54" spans="12:12" x14ac:dyDescent="0.3">
      <c r="L54" s="25">
        <v>45363</v>
      </c>
    </row>
    <row r="55" spans="12:12" x14ac:dyDescent="0.3">
      <c r="L55" s="25">
        <v>45364</v>
      </c>
    </row>
    <row r="56" spans="12:12" x14ac:dyDescent="0.3">
      <c r="L56" s="25">
        <v>45365</v>
      </c>
    </row>
  </sheetData>
  <printOptions headings="1"/>
  <pageMargins left="0.3" right="0.3" top="0.5" bottom="0.6" header="0.3" footer="0.3"/>
  <pageSetup orientation="landscape" r:id="rId1"/>
  <headerFooter>
    <oddFooter>&amp;L&amp;F - &amp;A 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5F06-7443-49E1-8290-7D73FB1EE620}">
  <sheetPr>
    <tabColor rgb="FF0000FF"/>
    <pageSetUpPr fitToPage="1"/>
  </sheetPr>
  <dimension ref="B1:P62"/>
  <sheetViews>
    <sheetView zoomScaleNormal="100" workbookViewId="0"/>
  </sheetViews>
  <sheetFormatPr defaultColWidth="8.88671875" defaultRowHeight="14.4" x14ac:dyDescent="0.3"/>
  <cols>
    <col min="1" max="1" width="1.6640625" customWidth="1"/>
    <col min="2" max="2" width="23.5546875" customWidth="1"/>
    <col min="3" max="3" width="11.109375" customWidth="1"/>
    <col min="4" max="4" width="12.44140625" customWidth="1"/>
    <col min="5" max="5" width="11.109375" customWidth="1"/>
    <col min="6" max="6" width="1.6640625" customWidth="1"/>
    <col min="7" max="7" width="3" bestFit="1" customWidth="1"/>
    <col min="8" max="8" width="30.6640625" customWidth="1"/>
    <col min="9" max="9" width="42" customWidth="1"/>
    <col min="11" max="11" width="15.5546875" customWidth="1"/>
    <col min="12" max="12" width="1.88671875" customWidth="1"/>
    <col min="16" max="16" width="11.6640625" bestFit="1" customWidth="1"/>
  </cols>
  <sheetData>
    <row r="1" spans="2:16" x14ac:dyDescent="0.3">
      <c r="K1" s="5" t="s">
        <v>78</v>
      </c>
      <c r="M1" s="5" t="s">
        <v>277</v>
      </c>
    </row>
    <row r="2" spans="2:16" ht="17.399999999999999" x14ac:dyDescent="0.35">
      <c r="B2" s="10" t="s">
        <v>27</v>
      </c>
      <c r="C2" s="11"/>
      <c r="D2" s="11"/>
      <c r="E2" s="11"/>
      <c r="F2" s="11"/>
      <c r="G2" s="11"/>
      <c r="H2" s="11"/>
      <c r="I2" s="12"/>
    </row>
    <row r="4" spans="2:16" x14ac:dyDescent="0.3">
      <c r="B4" s="1" t="s">
        <v>0</v>
      </c>
      <c r="C4" s="1" t="s">
        <v>1</v>
      </c>
      <c r="D4" s="1" t="s">
        <v>9</v>
      </c>
      <c r="E4" s="1" t="s">
        <v>28</v>
      </c>
      <c r="H4" s="2" t="s">
        <v>29</v>
      </c>
      <c r="I4" s="2" t="s">
        <v>16</v>
      </c>
    </row>
    <row r="5" spans="2:16" ht="28.8" x14ac:dyDescent="0.3">
      <c r="B5" s="16" t="s">
        <v>10</v>
      </c>
      <c r="C5" s="13">
        <v>45540</v>
      </c>
      <c r="D5" s="6">
        <v>120</v>
      </c>
      <c r="E5" s="4"/>
      <c r="G5" s="5">
        <v>8</v>
      </c>
      <c r="H5" s="6" t="str">
        <f ca="1">_xlfn.IFNA(ADDRESS(ROW(E5),COLUMN(E5),4)&amp;": "&amp;_xlfn.FORMULATEXT(E5),"")</f>
        <v/>
      </c>
      <c r="I5" s="16" t="s">
        <v>81</v>
      </c>
    </row>
    <row r="6" spans="2:16" ht="72" x14ac:dyDescent="0.3">
      <c r="B6" s="16" t="s">
        <v>80</v>
      </c>
      <c r="C6" s="13">
        <v>45613</v>
      </c>
      <c r="D6" s="6">
        <v>40</v>
      </c>
      <c r="E6" s="4"/>
      <c r="G6" s="5">
        <v>9</v>
      </c>
      <c r="H6" s="6" t="str">
        <f ca="1">_xlfn.IFNA(ADDRESS(ROW(E6),COLUMN(E6),4)&amp;": "&amp;_xlfn.FORMULATEXT(E6),"")</f>
        <v/>
      </c>
      <c r="I6" s="58" t="s">
        <v>278</v>
      </c>
      <c r="J6" s="57"/>
      <c r="P6" s="29"/>
    </row>
    <row r="7" spans="2:16" x14ac:dyDescent="0.3">
      <c r="H7" s="30"/>
      <c r="I7" s="55"/>
      <c r="P7" s="29"/>
    </row>
    <row r="8" spans="2:16" ht="17.399999999999999" x14ac:dyDescent="0.35">
      <c r="B8" s="10" t="s">
        <v>30</v>
      </c>
      <c r="C8" s="11"/>
      <c r="D8" s="11"/>
      <c r="E8" s="11"/>
      <c r="F8" s="11"/>
      <c r="G8" s="11"/>
      <c r="H8" s="11"/>
      <c r="I8" s="12"/>
      <c r="P8" s="29"/>
    </row>
    <row r="9" spans="2:16" x14ac:dyDescent="0.3">
      <c r="P9" s="29"/>
    </row>
    <row r="10" spans="2:16" x14ac:dyDescent="0.3">
      <c r="B10" s="1" t="s">
        <v>0</v>
      </c>
      <c r="C10" s="1" t="s">
        <v>2</v>
      </c>
      <c r="D10" s="1" t="s">
        <v>9</v>
      </c>
      <c r="E10" s="1" t="s">
        <v>1</v>
      </c>
      <c r="H10" s="2" t="s">
        <v>29</v>
      </c>
      <c r="I10" s="2" t="s">
        <v>16</v>
      </c>
      <c r="P10" s="29"/>
    </row>
    <row r="11" spans="2:16" ht="28.8" x14ac:dyDescent="0.3">
      <c r="B11" s="16" t="s">
        <v>31</v>
      </c>
      <c r="C11" s="13">
        <v>45660</v>
      </c>
      <c r="D11" s="6">
        <v>120</v>
      </c>
      <c r="E11" s="4"/>
      <c r="G11" s="5">
        <v>10</v>
      </c>
      <c r="H11" s="6" t="str">
        <f ca="1">_xlfn.IFNA(ADDRESS(ROW(E11),COLUMN(E11),4)&amp;": "&amp;_xlfn.FORMULATEXT(E11),"")</f>
        <v/>
      </c>
      <c r="I11" s="16" t="s">
        <v>82</v>
      </c>
      <c r="P11" s="29"/>
    </row>
    <row r="12" spans="2:16" ht="57.6" x14ac:dyDescent="0.3">
      <c r="B12" s="16" t="s">
        <v>80</v>
      </c>
      <c r="C12" s="13">
        <v>45666</v>
      </c>
      <c r="D12" s="6">
        <v>-40</v>
      </c>
      <c r="E12" s="4"/>
      <c r="G12" s="5">
        <v>11</v>
      </c>
      <c r="H12" s="6" t="str">
        <f ca="1">_xlfn.IFNA(ADDRESS(ROW(E12),COLUMN(E12),4)&amp;": "&amp;_xlfn.FORMULATEXT(E12),"")</f>
        <v/>
      </c>
      <c r="I12" s="58" t="s">
        <v>279</v>
      </c>
      <c r="P12" s="29"/>
    </row>
    <row r="13" spans="2:16" x14ac:dyDescent="0.3">
      <c r="I13" s="55"/>
      <c r="P13" s="29"/>
    </row>
    <row r="14" spans="2:16" x14ac:dyDescent="0.3">
      <c r="P14" s="29"/>
    </row>
    <row r="15" spans="2:16" x14ac:dyDescent="0.3">
      <c r="P15" s="29"/>
    </row>
    <row r="16" spans="2:16" x14ac:dyDescent="0.3">
      <c r="P16" s="29"/>
    </row>
    <row r="17" spans="16:16" x14ac:dyDescent="0.3">
      <c r="P17" s="29"/>
    </row>
    <row r="18" spans="16:16" x14ac:dyDescent="0.3">
      <c r="P18" s="29"/>
    </row>
    <row r="19" spans="16:16" x14ac:dyDescent="0.3">
      <c r="P19" s="29"/>
    </row>
    <row r="20" spans="16:16" x14ac:dyDescent="0.3">
      <c r="P20" s="29"/>
    </row>
    <row r="21" spans="16:16" x14ac:dyDescent="0.3">
      <c r="P21" s="29"/>
    </row>
    <row r="22" spans="16:16" x14ac:dyDescent="0.3">
      <c r="P22" s="29"/>
    </row>
    <row r="23" spans="16:16" x14ac:dyDescent="0.3">
      <c r="P23" s="29"/>
    </row>
    <row r="24" spans="16:16" x14ac:dyDescent="0.3">
      <c r="P24" s="29"/>
    </row>
    <row r="25" spans="16:16" x14ac:dyDescent="0.3">
      <c r="P25" s="29"/>
    </row>
    <row r="26" spans="16:16" x14ac:dyDescent="0.3">
      <c r="P26" s="29"/>
    </row>
    <row r="27" spans="16:16" x14ac:dyDescent="0.3">
      <c r="P27" s="29"/>
    </row>
    <row r="28" spans="16:16" x14ac:dyDescent="0.3">
      <c r="P28" s="29"/>
    </row>
    <row r="29" spans="16:16" x14ac:dyDescent="0.3">
      <c r="P29" s="29"/>
    </row>
    <row r="30" spans="16:16" x14ac:dyDescent="0.3">
      <c r="P30" s="29"/>
    </row>
    <row r="31" spans="16:16" x14ac:dyDescent="0.3">
      <c r="P31" s="29"/>
    </row>
    <row r="32" spans="16:16" x14ac:dyDescent="0.3">
      <c r="P32" s="29"/>
    </row>
    <row r="33" spans="16:16" x14ac:dyDescent="0.3">
      <c r="P33" s="29"/>
    </row>
    <row r="34" spans="16:16" x14ac:dyDescent="0.3">
      <c r="P34" s="29"/>
    </row>
    <row r="35" spans="16:16" x14ac:dyDescent="0.3">
      <c r="P35" s="29"/>
    </row>
    <row r="36" spans="16:16" x14ac:dyDescent="0.3">
      <c r="P36" s="29"/>
    </row>
    <row r="37" spans="16:16" x14ac:dyDescent="0.3">
      <c r="P37" s="29"/>
    </row>
    <row r="38" spans="16:16" x14ac:dyDescent="0.3">
      <c r="P38" s="29"/>
    </row>
    <row r="39" spans="16:16" x14ac:dyDescent="0.3">
      <c r="P39" s="29"/>
    </row>
    <row r="40" spans="16:16" x14ac:dyDescent="0.3">
      <c r="P40" s="29"/>
    </row>
    <row r="41" spans="16:16" x14ac:dyDescent="0.3">
      <c r="P41" s="29"/>
    </row>
    <row r="42" spans="16:16" x14ac:dyDescent="0.3">
      <c r="P42" s="29"/>
    </row>
    <row r="43" spans="16:16" x14ac:dyDescent="0.3">
      <c r="P43" s="29"/>
    </row>
    <row r="44" spans="16:16" x14ac:dyDescent="0.3">
      <c r="P44" s="29"/>
    </row>
    <row r="45" spans="16:16" x14ac:dyDescent="0.3">
      <c r="P45" s="29"/>
    </row>
    <row r="46" spans="16:16" x14ac:dyDescent="0.3">
      <c r="P46" s="29"/>
    </row>
    <row r="47" spans="16:16" x14ac:dyDescent="0.3">
      <c r="P47" s="29"/>
    </row>
    <row r="48" spans="16:16" x14ac:dyDescent="0.3">
      <c r="P48" s="29"/>
    </row>
    <row r="49" spans="16:16" x14ac:dyDescent="0.3">
      <c r="P49" s="29"/>
    </row>
    <row r="50" spans="16:16" x14ac:dyDescent="0.3">
      <c r="P50" s="29"/>
    </row>
    <row r="51" spans="16:16" x14ac:dyDescent="0.3">
      <c r="P51" s="29"/>
    </row>
    <row r="52" spans="16:16" x14ac:dyDescent="0.3">
      <c r="P52" s="29"/>
    </row>
    <row r="53" spans="16:16" x14ac:dyDescent="0.3">
      <c r="P53" s="29"/>
    </row>
    <row r="54" spans="16:16" x14ac:dyDescent="0.3">
      <c r="P54" s="29"/>
    </row>
    <row r="55" spans="16:16" x14ac:dyDescent="0.3">
      <c r="P55" s="29"/>
    </row>
    <row r="56" spans="16:16" x14ac:dyDescent="0.3">
      <c r="P56" s="29"/>
    </row>
    <row r="57" spans="16:16" x14ac:dyDescent="0.3">
      <c r="P57" s="29"/>
    </row>
    <row r="58" spans="16:16" x14ac:dyDescent="0.3">
      <c r="P58" s="29"/>
    </row>
    <row r="59" spans="16:16" x14ac:dyDescent="0.3">
      <c r="P59" s="29"/>
    </row>
    <row r="60" spans="16:16" x14ac:dyDescent="0.3">
      <c r="P60" s="29"/>
    </row>
    <row r="61" spans="16:16" x14ac:dyDescent="0.3">
      <c r="P61" s="29"/>
    </row>
    <row r="62" spans="16:16" x14ac:dyDescent="0.3">
      <c r="P62" s="29"/>
    </row>
  </sheetData>
  <conditionalFormatting sqref="P6:Q62">
    <cfRule type="expression" dxfId="1" priority="1">
      <formula>OR($Q6="Fri",$Q6="Sat")</formula>
    </cfRule>
  </conditionalFormatting>
  <printOptions headings="1"/>
  <pageMargins left="0.3" right="0.3" top="0.5" bottom="0.6" header="0.3" footer="0.3"/>
  <pageSetup scale="9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96D6-873F-441A-A72C-7D8F3E54B297}">
  <sheetPr>
    <tabColor rgb="FFFF0000"/>
    <pageSetUpPr fitToPage="1"/>
  </sheetPr>
  <dimension ref="B1:P360"/>
  <sheetViews>
    <sheetView zoomScaleNormal="100" workbookViewId="0">
      <selection activeCell="I19" sqref="I19"/>
    </sheetView>
  </sheetViews>
  <sheetFormatPr defaultColWidth="8.88671875" defaultRowHeight="14.4" x14ac:dyDescent="0.3"/>
  <cols>
    <col min="1" max="1" width="1.6640625" customWidth="1"/>
    <col min="2" max="2" width="23.5546875" customWidth="1"/>
    <col min="3" max="3" width="11.109375" customWidth="1"/>
    <col min="4" max="4" width="12.44140625" customWidth="1"/>
    <col min="5" max="5" width="11.109375" customWidth="1"/>
    <col min="6" max="6" width="1.6640625" customWidth="1"/>
    <col min="7" max="7" width="3" bestFit="1" customWidth="1"/>
    <col min="8" max="8" width="30.6640625" customWidth="1"/>
    <col min="9" max="9" width="42" customWidth="1"/>
    <col min="11" max="11" width="15.5546875" customWidth="1"/>
    <col min="12" max="12" width="1.88671875" customWidth="1"/>
    <col min="16" max="16" width="11.6640625" bestFit="1" customWidth="1"/>
  </cols>
  <sheetData>
    <row r="1" spans="2:16" x14ac:dyDescent="0.3">
      <c r="K1" s="5" t="s">
        <v>78</v>
      </c>
      <c r="M1" s="5" t="s">
        <v>277</v>
      </c>
    </row>
    <row r="2" spans="2:16" ht="17.399999999999999" x14ac:dyDescent="0.35">
      <c r="B2" s="10" t="s">
        <v>27</v>
      </c>
      <c r="C2" s="11"/>
      <c r="D2" s="11"/>
      <c r="E2" s="11"/>
      <c r="F2" s="11"/>
      <c r="G2" s="11"/>
      <c r="H2" s="11"/>
      <c r="I2" s="12"/>
      <c r="K2" s="25">
        <v>45613</v>
      </c>
      <c r="M2">
        <f>COUNT(K2:K360)</f>
        <v>40</v>
      </c>
    </row>
    <row r="3" spans="2:16" x14ac:dyDescent="0.3">
      <c r="K3" s="25">
        <v>45614</v>
      </c>
    </row>
    <row r="4" spans="2:16" x14ac:dyDescent="0.3">
      <c r="B4" s="1" t="s">
        <v>0</v>
      </c>
      <c r="C4" s="1" t="s">
        <v>1</v>
      </c>
      <c r="D4" s="1" t="s">
        <v>9</v>
      </c>
      <c r="E4" s="1" t="s">
        <v>28</v>
      </c>
      <c r="H4" s="2" t="s">
        <v>29</v>
      </c>
      <c r="I4" s="2" t="s">
        <v>16</v>
      </c>
      <c r="K4" s="25">
        <v>45615</v>
      </c>
    </row>
    <row r="5" spans="2:16" ht="28.8" x14ac:dyDescent="0.3">
      <c r="B5" s="16" t="s">
        <v>10</v>
      </c>
      <c r="C5" s="13">
        <v>45540</v>
      </c>
      <c r="D5" s="6">
        <v>120</v>
      </c>
      <c r="E5" s="56">
        <f>C5+D5</f>
        <v>45660</v>
      </c>
      <c r="G5" s="5">
        <v>8</v>
      </c>
      <c r="H5" s="6" t="str">
        <f ca="1">_xlfn.IFNA(ADDRESS(ROW(E5),COLUMN(E5),4)&amp;": "&amp;_xlfn.FORMULATEXT(E5),"")</f>
        <v>E5: =C5+D5</v>
      </c>
      <c r="I5" s="16" t="s">
        <v>81</v>
      </c>
      <c r="K5" s="25">
        <v>45616</v>
      </c>
    </row>
    <row r="6" spans="2:16" ht="72" x14ac:dyDescent="0.3">
      <c r="B6" s="16" t="s">
        <v>80</v>
      </c>
      <c r="C6" s="13">
        <v>45613</v>
      </c>
      <c r="D6" s="6">
        <v>40</v>
      </c>
      <c r="E6" s="56">
        <f>WORKDAY.INTL(C6-1,D6,7)</f>
        <v>45666</v>
      </c>
      <c r="G6" s="5">
        <v>9</v>
      </c>
      <c r="H6" s="6" t="str">
        <f ca="1">_xlfn.IFNA(ADDRESS(ROW(E6),COLUMN(E6),4)&amp;": "&amp;_xlfn.FORMULATEXT(E6),"")</f>
        <v>E6: =WORKDAY.INTL(C6-1,D6,7)</v>
      </c>
      <c r="I6" s="58" t="s">
        <v>278</v>
      </c>
      <c r="J6" s="57"/>
      <c r="K6" s="25">
        <v>45617</v>
      </c>
      <c r="P6" s="29"/>
    </row>
    <row r="7" spans="2:16" x14ac:dyDescent="0.3">
      <c r="H7" s="30"/>
      <c r="I7" s="55"/>
      <c r="K7" s="25"/>
      <c r="P7" s="29"/>
    </row>
    <row r="8" spans="2:16" ht="17.399999999999999" x14ac:dyDescent="0.35">
      <c r="B8" s="10" t="s">
        <v>30</v>
      </c>
      <c r="C8" s="11"/>
      <c r="D8" s="11"/>
      <c r="E8" s="11"/>
      <c r="F8" s="11"/>
      <c r="G8" s="11"/>
      <c r="H8" s="11"/>
      <c r="I8" s="12"/>
      <c r="K8" s="25"/>
      <c r="P8" s="29"/>
    </row>
    <row r="9" spans="2:16" x14ac:dyDescent="0.3">
      <c r="K9" s="25">
        <v>45620</v>
      </c>
      <c r="P9" s="29"/>
    </row>
    <row r="10" spans="2:16" x14ac:dyDescent="0.3">
      <c r="B10" s="1" t="s">
        <v>0</v>
      </c>
      <c r="C10" s="1" t="s">
        <v>2</v>
      </c>
      <c r="D10" s="1" t="s">
        <v>9</v>
      </c>
      <c r="E10" s="1" t="s">
        <v>1</v>
      </c>
      <c r="H10" s="2" t="s">
        <v>29</v>
      </c>
      <c r="I10" s="2" t="s">
        <v>16</v>
      </c>
      <c r="K10" s="25">
        <v>45621</v>
      </c>
      <c r="P10" s="29"/>
    </row>
    <row r="11" spans="2:16" ht="28.8" x14ac:dyDescent="0.3">
      <c r="B11" s="16" t="s">
        <v>31</v>
      </c>
      <c r="C11" s="13">
        <v>45660</v>
      </c>
      <c r="D11" s="6">
        <v>120</v>
      </c>
      <c r="E11" s="56">
        <f>C11-D11</f>
        <v>45540</v>
      </c>
      <c r="G11" s="5">
        <v>10</v>
      </c>
      <c r="H11" s="6" t="str">
        <f ca="1">_xlfn.IFNA(ADDRESS(ROW(E11),COLUMN(E11),4)&amp;": "&amp;_xlfn.FORMULATEXT(E11),"")</f>
        <v>E11: =C11-D11</v>
      </c>
      <c r="I11" s="16" t="s">
        <v>82</v>
      </c>
      <c r="K11" s="25">
        <v>45622</v>
      </c>
      <c r="P11" s="29"/>
    </row>
    <row r="12" spans="2:16" ht="57.6" x14ac:dyDescent="0.3">
      <c r="B12" s="16" t="s">
        <v>80</v>
      </c>
      <c r="C12" s="13">
        <v>45666</v>
      </c>
      <c r="D12" s="6">
        <v>-40</v>
      </c>
      <c r="E12" s="56">
        <f>WORKDAY.INTL(C12+1,D12,7)</f>
        <v>45613</v>
      </c>
      <c r="G12" s="5">
        <v>11</v>
      </c>
      <c r="H12" s="6" t="str">
        <f ca="1">_xlfn.IFNA(ADDRESS(ROW(E12),COLUMN(E12),4)&amp;": "&amp;_xlfn.FORMULATEXT(E12),"")</f>
        <v>E12: =WORKDAY.INTL(C12+1,D12,7)</v>
      </c>
      <c r="I12" s="58" t="s">
        <v>279</v>
      </c>
      <c r="K12" s="25">
        <v>45623</v>
      </c>
      <c r="P12" s="29"/>
    </row>
    <row r="13" spans="2:16" x14ac:dyDescent="0.3">
      <c r="I13" s="55"/>
      <c r="K13" s="25">
        <v>45624</v>
      </c>
      <c r="P13" s="29"/>
    </row>
    <row r="14" spans="2:16" x14ac:dyDescent="0.3">
      <c r="K14" s="25"/>
      <c r="P14" s="29"/>
    </row>
    <row r="15" spans="2:16" x14ac:dyDescent="0.3">
      <c r="K15" s="25"/>
      <c r="P15" s="29"/>
    </row>
    <row r="16" spans="2:16" x14ac:dyDescent="0.3">
      <c r="K16" s="25">
        <v>45627</v>
      </c>
      <c r="P16" s="29"/>
    </row>
    <row r="17" spans="11:16" x14ac:dyDescent="0.3">
      <c r="K17" s="25">
        <v>45628</v>
      </c>
      <c r="P17" s="29"/>
    </row>
    <row r="18" spans="11:16" x14ac:dyDescent="0.3">
      <c r="K18" s="25">
        <v>45629</v>
      </c>
      <c r="P18" s="29"/>
    </row>
    <row r="19" spans="11:16" x14ac:dyDescent="0.3">
      <c r="K19" s="25">
        <v>45630</v>
      </c>
      <c r="P19" s="29"/>
    </row>
    <row r="20" spans="11:16" x14ac:dyDescent="0.3">
      <c r="K20" s="25">
        <v>45631</v>
      </c>
      <c r="P20" s="29"/>
    </row>
    <row r="21" spans="11:16" x14ac:dyDescent="0.3">
      <c r="K21" s="25"/>
      <c r="P21" s="29"/>
    </row>
    <row r="22" spans="11:16" x14ac:dyDescent="0.3">
      <c r="K22" s="25"/>
      <c r="P22" s="29"/>
    </row>
    <row r="23" spans="11:16" x14ac:dyDescent="0.3">
      <c r="K23" s="25">
        <v>45634</v>
      </c>
      <c r="P23" s="29"/>
    </row>
    <row r="24" spans="11:16" x14ac:dyDescent="0.3">
      <c r="K24" s="25">
        <v>45635</v>
      </c>
      <c r="P24" s="29"/>
    </row>
    <row r="25" spans="11:16" x14ac:dyDescent="0.3">
      <c r="K25" s="25">
        <v>45636</v>
      </c>
      <c r="P25" s="29"/>
    </row>
    <row r="26" spans="11:16" x14ac:dyDescent="0.3">
      <c r="K26" s="25">
        <v>45637</v>
      </c>
      <c r="P26" s="29"/>
    </row>
    <row r="27" spans="11:16" x14ac:dyDescent="0.3">
      <c r="K27" s="25">
        <v>45638</v>
      </c>
      <c r="P27" s="29"/>
    </row>
    <row r="28" spans="11:16" x14ac:dyDescent="0.3">
      <c r="K28" s="25"/>
      <c r="P28" s="29"/>
    </row>
    <row r="29" spans="11:16" x14ac:dyDescent="0.3">
      <c r="K29" s="25"/>
      <c r="P29" s="29"/>
    </row>
    <row r="30" spans="11:16" x14ac:dyDescent="0.3">
      <c r="K30" s="25">
        <v>45641</v>
      </c>
      <c r="P30" s="29"/>
    </row>
    <row r="31" spans="11:16" x14ac:dyDescent="0.3">
      <c r="K31" s="25">
        <v>45642</v>
      </c>
      <c r="P31" s="29"/>
    </row>
    <row r="32" spans="11:16" x14ac:dyDescent="0.3">
      <c r="K32" s="25">
        <v>45643</v>
      </c>
      <c r="P32" s="29"/>
    </row>
    <row r="33" spans="11:16" x14ac:dyDescent="0.3">
      <c r="K33" s="25">
        <v>45644</v>
      </c>
      <c r="P33" s="29"/>
    </row>
    <row r="34" spans="11:16" x14ac:dyDescent="0.3">
      <c r="K34" s="25">
        <v>45645</v>
      </c>
      <c r="P34" s="29"/>
    </row>
    <row r="35" spans="11:16" x14ac:dyDescent="0.3">
      <c r="K35" s="25"/>
      <c r="P35" s="29"/>
    </row>
    <row r="36" spans="11:16" x14ac:dyDescent="0.3">
      <c r="K36" s="25"/>
      <c r="P36" s="29"/>
    </row>
    <row r="37" spans="11:16" x14ac:dyDescent="0.3">
      <c r="K37" s="25">
        <v>45648</v>
      </c>
      <c r="P37" s="29"/>
    </row>
    <row r="38" spans="11:16" x14ac:dyDescent="0.3">
      <c r="K38" s="25">
        <v>45649</v>
      </c>
      <c r="P38" s="29"/>
    </row>
    <row r="39" spans="11:16" x14ac:dyDescent="0.3">
      <c r="K39" s="25">
        <v>45650</v>
      </c>
      <c r="P39" s="29"/>
    </row>
    <row r="40" spans="11:16" x14ac:dyDescent="0.3">
      <c r="K40" s="25">
        <v>45651</v>
      </c>
      <c r="P40" s="29"/>
    </row>
    <row r="41" spans="11:16" x14ac:dyDescent="0.3">
      <c r="K41" s="25">
        <v>45652</v>
      </c>
      <c r="P41" s="29"/>
    </row>
    <row r="42" spans="11:16" x14ac:dyDescent="0.3">
      <c r="K42" s="25">
        <v>45653</v>
      </c>
      <c r="P42" s="29"/>
    </row>
    <row r="43" spans="11:16" x14ac:dyDescent="0.3">
      <c r="K43" s="25"/>
      <c r="P43" s="29"/>
    </row>
    <row r="44" spans="11:16" x14ac:dyDescent="0.3">
      <c r="K44" s="25"/>
      <c r="P44" s="29"/>
    </row>
    <row r="45" spans="11:16" x14ac:dyDescent="0.3">
      <c r="K45" s="25">
        <v>45656</v>
      </c>
      <c r="P45" s="29"/>
    </row>
    <row r="46" spans="11:16" x14ac:dyDescent="0.3">
      <c r="K46" s="25">
        <v>45657</v>
      </c>
      <c r="P46" s="29"/>
    </row>
    <row r="47" spans="11:16" x14ac:dyDescent="0.3">
      <c r="K47" s="25">
        <v>45658</v>
      </c>
      <c r="P47" s="29"/>
    </row>
    <row r="48" spans="11:16" x14ac:dyDescent="0.3">
      <c r="K48" s="25">
        <v>45659</v>
      </c>
      <c r="P48" s="29"/>
    </row>
    <row r="49" spans="11:16" x14ac:dyDescent="0.3">
      <c r="K49" s="25"/>
      <c r="P49" s="29"/>
    </row>
    <row r="50" spans="11:16" x14ac:dyDescent="0.3">
      <c r="K50" s="25"/>
      <c r="P50" s="29"/>
    </row>
    <row r="51" spans="11:16" x14ac:dyDescent="0.3">
      <c r="K51" s="25">
        <v>45662</v>
      </c>
      <c r="P51" s="29"/>
    </row>
    <row r="52" spans="11:16" x14ac:dyDescent="0.3">
      <c r="K52" s="25">
        <v>45663</v>
      </c>
      <c r="P52" s="29"/>
    </row>
    <row r="53" spans="11:16" x14ac:dyDescent="0.3">
      <c r="K53" s="25">
        <v>45664</v>
      </c>
      <c r="P53" s="29"/>
    </row>
    <row r="54" spans="11:16" x14ac:dyDescent="0.3">
      <c r="K54" s="25">
        <v>45665</v>
      </c>
      <c r="P54" s="29"/>
    </row>
    <row r="55" spans="11:16" x14ac:dyDescent="0.3">
      <c r="K55" s="25">
        <v>45666</v>
      </c>
      <c r="P55" s="29"/>
    </row>
    <row r="56" spans="11:16" x14ac:dyDescent="0.3">
      <c r="K56" s="25"/>
      <c r="P56" s="29"/>
    </row>
    <row r="57" spans="11:16" x14ac:dyDescent="0.3">
      <c r="K57" s="25"/>
      <c r="P57" s="29"/>
    </row>
    <row r="58" spans="11:16" x14ac:dyDescent="0.3">
      <c r="K58" s="25"/>
      <c r="P58" s="29"/>
    </row>
    <row r="59" spans="11:16" x14ac:dyDescent="0.3">
      <c r="K59" s="25"/>
      <c r="P59" s="29"/>
    </row>
    <row r="60" spans="11:16" x14ac:dyDescent="0.3">
      <c r="K60" s="25"/>
      <c r="P60" s="29"/>
    </row>
    <row r="61" spans="11:16" x14ac:dyDescent="0.3">
      <c r="K61" s="25"/>
      <c r="P61" s="29"/>
    </row>
    <row r="62" spans="11:16" x14ac:dyDescent="0.3">
      <c r="K62" s="25"/>
      <c r="P62" s="29"/>
    </row>
    <row r="63" spans="11:16" x14ac:dyDescent="0.3">
      <c r="K63" s="25"/>
    </row>
    <row r="64" spans="11:16" x14ac:dyDescent="0.3">
      <c r="K64" s="25"/>
    </row>
    <row r="65" spans="11:11" x14ac:dyDescent="0.3">
      <c r="K65" s="25"/>
    </row>
    <row r="66" spans="11:11" x14ac:dyDescent="0.3">
      <c r="K66" s="25"/>
    </row>
    <row r="67" spans="11:11" x14ac:dyDescent="0.3">
      <c r="K67" s="25"/>
    </row>
    <row r="68" spans="11:11" x14ac:dyDescent="0.3">
      <c r="K68" s="25"/>
    </row>
    <row r="69" spans="11:11" x14ac:dyDescent="0.3">
      <c r="K69" s="25"/>
    </row>
    <row r="70" spans="11:11" x14ac:dyDescent="0.3">
      <c r="K70" s="25"/>
    </row>
    <row r="71" spans="11:11" x14ac:dyDescent="0.3">
      <c r="K71" s="25"/>
    </row>
    <row r="72" spans="11:11" x14ac:dyDescent="0.3">
      <c r="K72" s="25"/>
    </row>
    <row r="73" spans="11:11" x14ac:dyDescent="0.3">
      <c r="K73" s="25"/>
    </row>
    <row r="74" spans="11:11" x14ac:dyDescent="0.3">
      <c r="K74" s="25"/>
    </row>
    <row r="75" spans="11:11" x14ac:dyDescent="0.3">
      <c r="K75" s="25"/>
    </row>
    <row r="76" spans="11:11" x14ac:dyDescent="0.3">
      <c r="K76" s="25"/>
    </row>
    <row r="77" spans="11:11" x14ac:dyDescent="0.3">
      <c r="K77" s="25"/>
    </row>
    <row r="78" spans="11:11" x14ac:dyDescent="0.3">
      <c r="K78" s="25"/>
    </row>
    <row r="79" spans="11:11" x14ac:dyDescent="0.3">
      <c r="K79" s="25"/>
    </row>
    <row r="80" spans="11:11" x14ac:dyDescent="0.3">
      <c r="K80" s="25"/>
    </row>
    <row r="81" spans="11:11" x14ac:dyDescent="0.3">
      <c r="K81" s="25"/>
    </row>
    <row r="82" spans="11:11" x14ac:dyDescent="0.3">
      <c r="K82" s="25"/>
    </row>
    <row r="83" spans="11:11" x14ac:dyDescent="0.3">
      <c r="K83" s="25"/>
    </row>
    <row r="84" spans="11:11" x14ac:dyDescent="0.3">
      <c r="K84" s="25"/>
    </row>
    <row r="85" spans="11:11" x14ac:dyDescent="0.3">
      <c r="K85" s="25"/>
    </row>
    <row r="86" spans="11:11" x14ac:dyDescent="0.3">
      <c r="K86" s="25"/>
    </row>
    <row r="87" spans="11:11" x14ac:dyDescent="0.3">
      <c r="K87" s="25"/>
    </row>
    <row r="88" spans="11:11" x14ac:dyDescent="0.3">
      <c r="K88" s="25"/>
    </row>
    <row r="89" spans="11:11" x14ac:dyDescent="0.3">
      <c r="K89" s="25"/>
    </row>
    <row r="90" spans="11:11" x14ac:dyDescent="0.3">
      <c r="K90" s="25"/>
    </row>
    <row r="91" spans="11:11" x14ac:dyDescent="0.3">
      <c r="K91" s="25"/>
    </row>
    <row r="92" spans="11:11" x14ac:dyDescent="0.3">
      <c r="K92" s="25"/>
    </row>
    <row r="93" spans="11:11" x14ac:dyDescent="0.3">
      <c r="K93" s="25"/>
    </row>
    <row r="94" spans="11:11" x14ac:dyDescent="0.3">
      <c r="K94" s="25"/>
    </row>
    <row r="95" spans="11:11" x14ac:dyDescent="0.3">
      <c r="K95" s="25"/>
    </row>
    <row r="96" spans="11:11" x14ac:dyDescent="0.3">
      <c r="K96" s="25"/>
    </row>
    <row r="97" spans="11:11" x14ac:dyDescent="0.3">
      <c r="K97" s="25"/>
    </row>
    <row r="98" spans="11:11" x14ac:dyDescent="0.3">
      <c r="K98" s="25"/>
    </row>
    <row r="99" spans="11:11" x14ac:dyDescent="0.3">
      <c r="K99" s="25"/>
    </row>
    <row r="100" spans="11:11" x14ac:dyDescent="0.3">
      <c r="K100" s="25"/>
    </row>
    <row r="101" spans="11:11" x14ac:dyDescent="0.3">
      <c r="K101" s="25"/>
    </row>
    <row r="102" spans="11:11" x14ac:dyDescent="0.3">
      <c r="K102" s="25"/>
    </row>
    <row r="103" spans="11:11" x14ac:dyDescent="0.3">
      <c r="K103" s="25"/>
    </row>
    <row r="104" spans="11:11" x14ac:dyDescent="0.3">
      <c r="K104" s="25"/>
    </row>
    <row r="105" spans="11:11" x14ac:dyDescent="0.3">
      <c r="K105" s="25"/>
    </row>
    <row r="106" spans="11:11" x14ac:dyDescent="0.3">
      <c r="K106" s="25"/>
    </row>
    <row r="107" spans="11:11" x14ac:dyDescent="0.3">
      <c r="K107" s="25"/>
    </row>
    <row r="108" spans="11:11" x14ac:dyDescent="0.3">
      <c r="K108" s="25"/>
    </row>
    <row r="109" spans="11:11" x14ac:dyDescent="0.3">
      <c r="K109" s="25"/>
    </row>
    <row r="110" spans="11:11" x14ac:dyDescent="0.3">
      <c r="K110" s="25"/>
    </row>
    <row r="111" spans="11:11" x14ac:dyDescent="0.3">
      <c r="K111" s="25"/>
    </row>
    <row r="112" spans="11:11" x14ac:dyDescent="0.3">
      <c r="K112" s="25"/>
    </row>
    <row r="113" spans="11:11" x14ac:dyDescent="0.3">
      <c r="K113" s="25"/>
    </row>
    <row r="114" spans="11:11" x14ac:dyDescent="0.3">
      <c r="K114" s="25"/>
    </row>
    <row r="115" spans="11:11" x14ac:dyDescent="0.3">
      <c r="K115" s="25"/>
    </row>
    <row r="116" spans="11:11" x14ac:dyDescent="0.3">
      <c r="K116" s="25"/>
    </row>
    <row r="117" spans="11:11" x14ac:dyDescent="0.3">
      <c r="K117" s="25"/>
    </row>
    <row r="118" spans="11:11" x14ac:dyDescent="0.3">
      <c r="K118" s="25"/>
    </row>
    <row r="119" spans="11:11" x14ac:dyDescent="0.3">
      <c r="K119" s="25"/>
    </row>
    <row r="120" spans="11:11" x14ac:dyDescent="0.3">
      <c r="K120" s="25"/>
    </row>
    <row r="121" spans="11:11" x14ac:dyDescent="0.3">
      <c r="K121" s="25"/>
    </row>
    <row r="122" spans="11:11" x14ac:dyDescent="0.3">
      <c r="K122" s="25"/>
    </row>
    <row r="123" spans="11:11" x14ac:dyDescent="0.3">
      <c r="K123" s="25"/>
    </row>
    <row r="124" spans="11:11" x14ac:dyDescent="0.3">
      <c r="K124" s="25"/>
    </row>
    <row r="125" spans="11:11" x14ac:dyDescent="0.3">
      <c r="K125" s="25"/>
    </row>
    <row r="126" spans="11:11" x14ac:dyDescent="0.3">
      <c r="K126" s="25"/>
    </row>
    <row r="127" spans="11:11" x14ac:dyDescent="0.3">
      <c r="K127" s="25"/>
    </row>
    <row r="128" spans="11:11" x14ac:dyDescent="0.3">
      <c r="K128" s="25"/>
    </row>
    <row r="129" spans="11:11" x14ac:dyDescent="0.3">
      <c r="K129" s="25"/>
    </row>
    <row r="130" spans="11:11" x14ac:dyDescent="0.3">
      <c r="K130" s="25"/>
    </row>
    <row r="131" spans="11:11" x14ac:dyDescent="0.3">
      <c r="K131" s="25"/>
    </row>
    <row r="132" spans="11:11" x14ac:dyDescent="0.3">
      <c r="K132" s="25"/>
    </row>
    <row r="133" spans="11:11" x14ac:dyDescent="0.3">
      <c r="K133" s="25"/>
    </row>
    <row r="134" spans="11:11" x14ac:dyDescent="0.3">
      <c r="K134" s="25"/>
    </row>
    <row r="135" spans="11:11" x14ac:dyDescent="0.3">
      <c r="K135" s="25"/>
    </row>
    <row r="136" spans="11:11" x14ac:dyDescent="0.3">
      <c r="K136" s="25"/>
    </row>
    <row r="137" spans="11:11" x14ac:dyDescent="0.3">
      <c r="K137" s="25"/>
    </row>
    <row r="138" spans="11:11" x14ac:dyDescent="0.3">
      <c r="K138" s="25"/>
    </row>
    <row r="139" spans="11:11" x14ac:dyDescent="0.3">
      <c r="K139" s="25"/>
    </row>
    <row r="140" spans="11:11" x14ac:dyDescent="0.3">
      <c r="K140" s="25"/>
    </row>
    <row r="141" spans="11:11" x14ac:dyDescent="0.3">
      <c r="K141" s="25"/>
    </row>
    <row r="142" spans="11:11" x14ac:dyDescent="0.3">
      <c r="K142" s="25"/>
    </row>
    <row r="143" spans="11:11" x14ac:dyDescent="0.3">
      <c r="K143" s="25"/>
    </row>
    <row r="144" spans="11:11" x14ac:dyDescent="0.3">
      <c r="K144" s="25"/>
    </row>
    <row r="145" spans="11:11" x14ac:dyDescent="0.3">
      <c r="K145" s="25"/>
    </row>
    <row r="146" spans="11:11" x14ac:dyDescent="0.3">
      <c r="K146" s="25"/>
    </row>
    <row r="147" spans="11:11" x14ac:dyDescent="0.3">
      <c r="K147" s="25"/>
    </row>
    <row r="148" spans="11:11" x14ac:dyDescent="0.3">
      <c r="K148" s="25"/>
    </row>
    <row r="149" spans="11:11" x14ac:dyDescent="0.3">
      <c r="K149" s="25"/>
    </row>
    <row r="150" spans="11:11" x14ac:dyDescent="0.3">
      <c r="K150" s="25"/>
    </row>
    <row r="151" spans="11:11" x14ac:dyDescent="0.3">
      <c r="K151" s="25"/>
    </row>
    <row r="152" spans="11:11" x14ac:dyDescent="0.3">
      <c r="K152" s="25"/>
    </row>
    <row r="153" spans="11:11" x14ac:dyDescent="0.3">
      <c r="K153" s="25"/>
    </row>
    <row r="154" spans="11:11" x14ac:dyDescent="0.3">
      <c r="K154" s="25"/>
    </row>
    <row r="155" spans="11:11" x14ac:dyDescent="0.3">
      <c r="K155" s="25"/>
    </row>
    <row r="156" spans="11:11" x14ac:dyDescent="0.3">
      <c r="K156" s="25"/>
    </row>
    <row r="157" spans="11:11" x14ac:dyDescent="0.3">
      <c r="K157" s="25"/>
    </row>
    <row r="158" spans="11:11" x14ac:dyDescent="0.3">
      <c r="K158" s="25"/>
    </row>
    <row r="159" spans="11:11" x14ac:dyDescent="0.3">
      <c r="K159" s="25"/>
    </row>
    <row r="160" spans="11:11" x14ac:dyDescent="0.3">
      <c r="K160" s="25"/>
    </row>
    <row r="161" spans="11:11" x14ac:dyDescent="0.3">
      <c r="K161" s="25"/>
    </row>
    <row r="162" spans="11:11" x14ac:dyDescent="0.3">
      <c r="K162" s="25"/>
    </row>
    <row r="163" spans="11:11" x14ac:dyDescent="0.3">
      <c r="K163" s="25"/>
    </row>
    <row r="164" spans="11:11" x14ac:dyDescent="0.3">
      <c r="K164" s="25"/>
    </row>
    <row r="165" spans="11:11" x14ac:dyDescent="0.3">
      <c r="K165" s="25"/>
    </row>
    <row r="166" spans="11:11" x14ac:dyDescent="0.3">
      <c r="K166" s="25"/>
    </row>
    <row r="167" spans="11:11" x14ac:dyDescent="0.3">
      <c r="K167" s="25"/>
    </row>
    <row r="168" spans="11:11" x14ac:dyDescent="0.3">
      <c r="K168" s="25"/>
    </row>
    <row r="169" spans="11:11" x14ac:dyDescent="0.3">
      <c r="K169" s="25"/>
    </row>
    <row r="170" spans="11:11" x14ac:dyDescent="0.3">
      <c r="K170" s="25"/>
    </row>
    <row r="171" spans="11:11" x14ac:dyDescent="0.3">
      <c r="K171" s="25"/>
    </row>
    <row r="172" spans="11:11" x14ac:dyDescent="0.3">
      <c r="K172" s="25"/>
    </row>
    <row r="173" spans="11:11" x14ac:dyDescent="0.3">
      <c r="K173" s="25"/>
    </row>
    <row r="174" spans="11:11" x14ac:dyDescent="0.3">
      <c r="K174" s="25"/>
    </row>
    <row r="175" spans="11:11" x14ac:dyDescent="0.3">
      <c r="K175" s="25"/>
    </row>
    <row r="176" spans="11:11" x14ac:dyDescent="0.3">
      <c r="K176" s="25"/>
    </row>
    <row r="177" spans="11:11" x14ac:dyDescent="0.3">
      <c r="K177" s="25"/>
    </row>
    <row r="178" spans="11:11" x14ac:dyDescent="0.3">
      <c r="K178" s="25"/>
    </row>
    <row r="179" spans="11:11" x14ac:dyDescent="0.3">
      <c r="K179" s="25"/>
    </row>
    <row r="180" spans="11:11" x14ac:dyDescent="0.3">
      <c r="K180" s="25"/>
    </row>
    <row r="181" spans="11:11" x14ac:dyDescent="0.3">
      <c r="K181" s="25"/>
    </row>
    <row r="182" spans="11:11" x14ac:dyDescent="0.3">
      <c r="K182" s="25"/>
    </row>
    <row r="183" spans="11:11" x14ac:dyDescent="0.3">
      <c r="K183" s="25"/>
    </row>
    <row r="184" spans="11:11" x14ac:dyDescent="0.3">
      <c r="K184" s="25"/>
    </row>
    <row r="185" spans="11:11" x14ac:dyDescent="0.3">
      <c r="K185" s="25"/>
    </row>
    <row r="186" spans="11:11" x14ac:dyDescent="0.3">
      <c r="K186" s="25"/>
    </row>
    <row r="187" spans="11:11" x14ac:dyDescent="0.3">
      <c r="K187" s="25"/>
    </row>
    <row r="188" spans="11:11" x14ac:dyDescent="0.3">
      <c r="K188" s="25"/>
    </row>
    <row r="189" spans="11:11" x14ac:dyDescent="0.3">
      <c r="K189" s="25"/>
    </row>
    <row r="190" spans="11:11" x14ac:dyDescent="0.3">
      <c r="K190" s="25"/>
    </row>
    <row r="191" spans="11:11" x14ac:dyDescent="0.3">
      <c r="K191" s="25"/>
    </row>
    <row r="192" spans="11:11" x14ac:dyDescent="0.3">
      <c r="K192" s="25"/>
    </row>
    <row r="193" spans="11:11" x14ac:dyDescent="0.3">
      <c r="K193" s="25"/>
    </row>
    <row r="194" spans="11:11" x14ac:dyDescent="0.3">
      <c r="K194" s="25"/>
    </row>
    <row r="195" spans="11:11" x14ac:dyDescent="0.3">
      <c r="K195" s="25"/>
    </row>
    <row r="196" spans="11:11" x14ac:dyDescent="0.3">
      <c r="K196" s="25"/>
    </row>
    <row r="197" spans="11:11" x14ac:dyDescent="0.3">
      <c r="K197" s="25"/>
    </row>
    <row r="198" spans="11:11" x14ac:dyDescent="0.3">
      <c r="K198" s="25"/>
    </row>
    <row r="199" spans="11:11" x14ac:dyDescent="0.3">
      <c r="K199" s="25"/>
    </row>
    <row r="200" spans="11:11" x14ac:dyDescent="0.3">
      <c r="K200" s="25"/>
    </row>
    <row r="201" spans="11:11" x14ac:dyDescent="0.3">
      <c r="K201" s="25"/>
    </row>
    <row r="202" spans="11:11" x14ac:dyDescent="0.3">
      <c r="K202" s="25"/>
    </row>
    <row r="203" spans="11:11" x14ac:dyDescent="0.3">
      <c r="K203" s="25"/>
    </row>
    <row r="204" spans="11:11" x14ac:dyDescent="0.3">
      <c r="K204" s="25"/>
    </row>
    <row r="205" spans="11:11" x14ac:dyDescent="0.3">
      <c r="K205" s="25"/>
    </row>
    <row r="206" spans="11:11" x14ac:dyDescent="0.3">
      <c r="K206" s="25"/>
    </row>
    <row r="207" spans="11:11" x14ac:dyDescent="0.3">
      <c r="K207" s="25"/>
    </row>
    <row r="208" spans="11:11" x14ac:dyDescent="0.3">
      <c r="K208" s="25"/>
    </row>
    <row r="209" spans="11:11" x14ac:dyDescent="0.3">
      <c r="K209" s="25"/>
    </row>
    <row r="210" spans="11:11" x14ac:dyDescent="0.3">
      <c r="K210" s="25"/>
    </row>
    <row r="211" spans="11:11" x14ac:dyDescent="0.3">
      <c r="K211" s="25"/>
    </row>
    <row r="212" spans="11:11" x14ac:dyDescent="0.3">
      <c r="K212" s="25"/>
    </row>
    <row r="213" spans="11:11" x14ac:dyDescent="0.3">
      <c r="K213" s="25"/>
    </row>
    <row r="214" spans="11:11" x14ac:dyDescent="0.3">
      <c r="K214" s="25"/>
    </row>
    <row r="215" spans="11:11" x14ac:dyDescent="0.3">
      <c r="K215" s="25"/>
    </row>
    <row r="216" spans="11:11" x14ac:dyDescent="0.3">
      <c r="K216" s="25"/>
    </row>
    <row r="217" spans="11:11" x14ac:dyDescent="0.3">
      <c r="K217" s="25"/>
    </row>
    <row r="218" spans="11:11" x14ac:dyDescent="0.3">
      <c r="K218" s="25"/>
    </row>
    <row r="219" spans="11:11" x14ac:dyDescent="0.3">
      <c r="K219" s="25"/>
    </row>
    <row r="220" spans="11:11" x14ac:dyDescent="0.3">
      <c r="K220" s="25"/>
    </row>
    <row r="221" spans="11:11" x14ac:dyDescent="0.3">
      <c r="K221" s="25"/>
    </row>
    <row r="222" spans="11:11" x14ac:dyDescent="0.3">
      <c r="K222" s="25"/>
    </row>
    <row r="223" spans="11:11" x14ac:dyDescent="0.3">
      <c r="K223" s="25"/>
    </row>
    <row r="224" spans="11:11" x14ac:dyDescent="0.3">
      <c r="K224" s="25"/>
    </row>
    <row r="225" spans="11:11" x14ac:dyDescent="0.3">
      <c r="K225" s="25"/>
    </row>
    <row r="226" spans="11:11" x14ac:dyDescent="0.3">
      <c r="K226" s="25"/>
    </row>
    <row r="227" spans="11:11" x14ac:dyDescent="0.3">
      <c r="K227" s="25"/>
    </row>
    <row r="228" spans="11:11" x14ac:dyDescent="0.3">
      <c r="K228" s="25"/>
    </row>
    <row r="229" spans="11:11" x14ac:dyDescent="0.3">
      <c r="K229" s="25"/>
    </row>
    <row r="230" spans="11:11" x14ac:dyDescent="0.3">
      <c r="K230" s="25"/>
    </row>
    <row r="231" spans="11:11" x14ac:dyDescent="0.3">
      <c r="K231" s="25"/>
    </row>
    <row r="232" spans="11:11" x14ac:dyDescent="0.3">
      <c r="K232" s="25"/>
    </row>
    <row r="233" spans="11:11" x14ac:dyDescent="0.3">
      <c r="K233" s="25"/>
    </row>
    <row r="234" spans="11:11" x14ac:dyDescent="0.3">
      <c r="K234" s="25"/>
    </row>
    <row r="235" spans="11:11" x14ac:dyDescent="0.3">
      <c r="K235" s="25"/>
    </row>
    <row r="236" spans="11:11" x14ac:dyDescent="0.3">
      <c r="K236" s="25"/>
    </row>
    <row r="237" spans="11:11" x14ac:dyDescent="0.3">
      <c r="K237" s="25"/>
    </row>
    <row r="238" spans="11:11" x14ac:dyDescent="0.3">
      <c r="K238" s="25"/>
    </row>
    <row r="239" spans="11:11" x14ac:dyDescent="0.3">
      <c r="K239" s="25"/>
    </row>
    <row r="240" spans="11:11" x14ac:dyDescent="0.3">
      <c r="K240" s="25"/>
    </row>
    <row r="241" spans="11:11" x14ac:dyDescent="0.3">
      <c r="K241" s="25"/>
    </row>
    <row r="242" spans="11:11" x14ac:dyDescent="0.3">
      <c r="K242" s="25"/>
    </row>
    <row r="243" spans="11:11" x14ac:dyDescent="0.3">
      <c r="K243" s="25"/>
    </row>
    <row r="244" spans="11:11" x14ac:dyDescent="0.3">
      <c r="K244" s="25"/>
    </row>
    <row r="245" spans="11:11" x14ac:dyDescent="0.3">
      <c r="K245" s="25"/>
    </row>
    <row r="246" spans="11:11" x14ac:dyDescent="0.3">
      <c r="K246" s="25"/>
    </row>
    <row r="247" spans="11:11" x14ac:dyDescent="0.3">
      <c r="K247" s="25"/>
    </row>
    <row r="248" spans="11:11" x14ac:dyDescent="0.3">
      <c r="K248" s="25"/>
    </row>
    <row r="249" spans="11:11" x14ac:dyDescent="0.3">
      <c r="K249" s="25"/>
    </row>
    <row r="250" spans="11:11" x14ac:dyDescent="0.3">
      <c r="K250" s="25"/>
    </row>
    <row r="251" spans="11:11" x14ac:dyDescent="0.3">
      <c r="K251" s="25"/>
    </row>
    <row r="252" spans="11:11" x14ac:dyDescent="0.3">
      <c r="K252" s="25"/>
    </row>
    <row r="253" spans="11:11" x14ac:dyDescent="0.3">
      <c r="K253" s="25"/>
    </row>
    <row r="254" spans="11:11" x14ac:dyDescent="0.3">
      <c r="K254" s="25"/>
    </row>
    <row r="255" spans="11:11" x14ac:dyDescent="0.3">
      <c r="K255" s="25"/>
    </row>
    <row r="256" spans="11:11" x14ac:dyDescent="0.3">
      <c r="K256" s="25"/>
    </row>
    <row r="257" spans="11:11" x14ac:dyDescent="0.3">
      <c r="K257" s="25"/>
    </row>
    <row r="258" spans="11:11" x14ac:dyDescent="0.3">
      <c r="K258" s="25"/>
    </row>
    <row r="259" spans="11:11" x14ac:dyDescent="0.3">
      <c r="K259" s="25"/>
    </row>
    <row r="260" spans="11:11" x14ac:dyDescent="0.3">
      <c r="K260" s="25"/>
    </row>
    <row r="261" spans="11:11" x14ac:dyDescent="0.3">
      <c r="K261" s="25"/>
    </row>
    <row r="262" spans="11:11" x14ac:dyDescent="0.3">
      <c r="K262" s="25"/>
    </row>
    <row r="263" spans="11:11" x14ac:dyDescent="0.3">
      <c r="K263" s="25"/>
    </row>
    <row r="264" spans="11:11" x14ac:dyDescent="0.3">
      <c r="K264" s="25"/>
    </row>
    <row r="265" spans="11:11" x14ac:dyDescent="0.3">
      <c r="K265" s="25"/>
    </row>
    <row r="266" spans="11:11" x14ac:dyDescent="0.3">
      <c r="K266" s="25"/>
    </row>
    <row r="267" spans="11:11" x14ac:dyDescent="0.3">
      <c r="K267" s="25"/>
    </row>
    <row r="268" spans="11:11" x14ac:dyDescent="0.3">
      <c r="K268" s="25"/>
    </row>
    <row r="269" spans="11:11" x14ac:dyDescent="0.3">
      <c r="K269" s="25"/>
    </row>
    <row r="270" spans="11:11" x14ac:dyDescent="0.3">
      <c r="K270" s="25"/>
    </row>
    <row r="271" spans="11:11" x14ac:dyDescent="0.3">
      <c r="K271" s="25"/>
    </row>
    <row r="272" spans="11:11" x14ac:dyDescent="0.3">
      <c r="K272" s="25"/>
    </row>
    <row r="273" spans="11:11" x14ac:dyDescent="0.3">
      <c r="K273" s="25"/>
    </row>
    <row r="274" spans="11:11" x14ac:dyDescent="0.3">
      <c r="K274" s="25"/>
    </row>
    <row r="275" spans="11:11" x14ac:dyDescent="0.3">
      <c r="K275" s="25"/>
    </row>
    <row r="276" spans="11:11" x14ac:dyDescent="0.3">
      <c r="K276" s="25"/>
    </row>
    <row r="277" spans="11:11" x14ac:dyDescent="0.3">
      <c r="K277" s="25"/>
    </row>
    <row r="278" spans="11:11" x14ac:dyDescent="0.3">
      <c r="K278" s="25"/>
    </row>
    <row r="279" spans="11:11" x14ac:dyDescent="0.3">
      <c r="K279" s="25"/>
    </row>
    <row r="280" spans="11:11" x14ac:dyDescent="0.3">
      <c r="K280" s="25"/>
    </row>
    <row r="281" spans="11:11" x14ac:dyDescent="0.3">
      <c r="K281" s="25"/>
    </row>
    <row r="282" spans="11:11" x14ac:dyDescent="0.3">
      <c r="K282" s="25"/>
    </row>
    <row r="283" spans="11:11" x14ac:dyDescent="0.3">
      <c r="K283" s="25"/>
    </row>
    <row r="284" spans="11:11" x14ac:dyDescent="0.3">
      <c r="K284" s="25"/>
    </row>
    <row r="285" spans="11:11" x14ac:dyDescent="0.3">
      <c r="K285" s="25"/>
    </row>
    <row r="286" spans="11:11" x14ac:dyDescent="0.3">
      <c r="K286" s="25"/>
    </row>
    <row r="287" spans="11:11" x14ac:dyDescent="0.3">
      <c r="K287" s="25"/>
    </row>
    <row r="288" spans="11:11" x14ac:dyDescent="0.3">
      <c r="K288" s="25"/>
    </row>
    <row r="289" spans="11:11" x14ac:dyDescent="0.3">
      <c r="K289" s="25"/>
    </row>
    <row r="290" spans="11:11" x14ac:dyDescent="0.3">
      <c r="K290" s="25"/>
    </row>
    <row r="291" spans="11:11" x14ac:dyDescent="0.3">
      <c r="K291" s="25"/>
    </row>
    <row r="292" spans="11:11" x14ac:dyDescent="0.3">
      <c r="K292" s="25"/>
    </row>
    <row r="293" spans="11:11" x14ac:dyDescent="0.3">
      <c r="K293" s="25"/>
    </row>
    <row r="294" spans="11:11" x14ac:dyDescent="0.3">
      <c r="K294" s="25"/>
    </row>
    <row r="295" spans="11:11" x14ac:dyDescent="0.3">
      <c r="K295" s="25"/>
    </row>
    <row r="296" spans="11:11" x14ac:dyDescent="0.3">
      <c r="K296" s="25"/>
    </row>
    <row r="297" spans="11:11" x14ac:dyDescent="0.3">
      <c r="K297" s="25"/>
    </row>
    <row r="298" spans="11:11" x14ac:dyDescent="0.3">
      <c r="K298" s="25"/>
    </row>
    <row r="299" spans="11:11" x14ac:dyDescent="0.3">
      <c r="K299" s="25"/>
    </row>
    <row r="300" spans="11:11" x14ac:dyDescent="0.3">
      <c r="K300" s="25"/>
    </row>
    <row r="301" spans="11:11" x14ac:dyDescent="0.3">
      <c r="K301" s="25"/>
    </row>
    <row r="302" spans="11:11" x14ac:dyDescent="0.3">
      <c r="K302" s="25"/>
    </row>
    <row r="303" spans="11:11" x14ac:dyDescent="0.3">
      <c r="K303" s="25"/>
    </row>
    <row r="304" spans="11:11" x14ac:dyDescent="0.3">
      <c r="K304" s="25"/>
    </row>
    <row r="305" spans="11:11" x14ac:dyDescent="0.3">
      <c r="K305" s="25"/>
    </row>
    <row r="306" spans="11:11" x14ac:dyDescent="0.3">
      <c r="K306" s="25"/>
    </row>
    <row r="307" spans="11:11" x14ac:dyDescent="0.3">
      <c r="K307" s="25"/>
    </row>
    <row r="308" spans="11:11" x14ac:dyDescent="0.3">
      <c r="K308" s="25"/>
    </row>
    <row r="309" spans="11:11" x14ac:dyDescent="0.3">
      <c r="K309" s="25"/>
    </row>
    <row r="310" spans="11:11" x14ac:dyDescent="0.3">
      <c r="K310" s="25"/>
    </row>
    <row r="311" spans="11:11" x14ac:dyDescent="0.3">
      <c r="K311" s="25"/>
    </row>
    <row r="312" spans="11:11" x14ac:dyDescent="0.3">
      <c r="K312" s="25"/>
    </row>
    <row r="313" spans="11:11" x14ac:dyDescent="0.3">
      <c r="K313" s="25"/>
    </row>
    <row r="314" spans="11:11" x14ac:dyDescent="0.3">
      <c r="K314" s="25"/>
    </row>
    <row r="315" spans="11:11" x14ac:dyDescent="0.3">
      <c r="K315" s="25"/>
    </row>
    <row r="316" spans="11:11" x14ac:dyDescent="0.3">
      <c r="K316" s="25"/>
    </row>
    <row r="317" spans="11:11" x14ac:dyDescent="0.3">
      <c r="K317" s="25"/>
    </row>
    <row r="318" spans="11:11" x14ac:dyDescent="0.3">
      <c r="K318" s="25"/>
    </row>
    <row r="319" spans="11:11" x14ac:dyDescent="0.3">
      <c r="K319" s="25"/>
    </row>
    <row r="320" spans="11:11" x14ac:dyDescent="0.3">
      <c r="K320" s="25"/>
    </row>
    <row r="321" spans="11:11" x14ac:dyDescent="0.3">
      <c r="K321" s="25"/>
    </row>
    <row r="322" spans="11:11" x14ac:dyDescent="0.3">
      <c r="K322" s="25"/>
    </row>
    <row r="323" spans="11:11" x14ac:dyDescent="0.3">
      <c r="K323" s="25"/>
    </row>
    <row r="324" spans="11:11" x14ac:dyDescent="0.3">
      <c r="K324" s="25"/>
    </row>
    <row r="325" spans="11:11" x14ac:dyDescent="0.3">
      <c r="K325" s="25"/>
    </row>
    <row r="326" spans="11:11" x14ac:dyDescent="0.3">
      <c r="K326" s="25"/>
    </row>
    <row r="327" spans="11:11" x14ac:dyDescent="0.3">
      <c r="K327" s="25"/>
    </row>
    <row r="328" spans="11:11" x14ac:dyDescent="0.3">
      <c r="K328" s="25"/>
    </row>
    <row r="329" spans="11:11" x14ac:dyDescent="0.3">
      <c r="K329" s="25"/>
    </row>
    <row r="330" spans="11:11" x14ac:dyDescent="0.3">
      <c r="K330" s="25"/>
    </row>
    <row r="331" spans="11:11" x14ac:dyDescent="0.3">
      <c r="K331" s="25"/>
    </row>
    <row r="332" spans="11:11" x14ac:dyDescent="0.3">
      <c r="K332" s="25"/>
    </row>
    <row r="333" spans="11:11" x14ac:dyDescent="0.3">
      <c r="K333" s="25"/>
    </row>
    <row r="334" spans="11:11" x14ac:dyDescent="0.3">
      <c r="K334" s="25"/>
    </row>
    <row r="335" spans="11:11" x14ac:dyDescent="0.3">
      <c r="K335" s="25"/>
    </row>
    <row r="336" spans="11:11" x14ac:dyDescent="0.3">
      <c r="K336" s="25"/>
    </row>
    <row r="337" spans="11:11" x14ac:dyDescent="0.3">
      <c r="K337" s="25"/>
    </row>
    <row r="338" spans="11:11" x14ac:dyDescent="0.3">
      <c r="K338" s="25"/>
    </row>
    <row r="339" spans="11:11" x14ac:dyDescent="0.3">
      <c r="K339" s="25"/>
    </row>
    <row r="340" spans="11:11" x14ac:dyDescent="0.3">
      <c r="K340" s="25"/>
    </row>
    <row r="341" spans="11:11" x14ac:dyDescent="0.3">
      <c r="K341" s="25"/>
    </row>
    <row r="342" spans="11:11" x14ac:dyDescent="0.3">
      <c r="K342" s="25"/>
    </row>
    <row r="343" spans="11:11" x14ac:dyDescent="0.3">
      <c r="K343" s="25"/>
    </row>
    <row r="344" spans="11:11" x14ac:dyDescent="0.3">
      <c r="K344" s="25"/>
    </row>
    <row r="345" spans="11:11" x14ac:dyDescent="0.3">
      <c r="K345" s="25"/>
    </row>
    <row r="346" spans="11:11" x14ac:dyDescent="0.3">
      <c r="K346" s="25"/>
    </row>
    <row r="347" spans="11:11" x14ac:dyDescent="0.3">
      <c r="K347" s="25"/>
    </row>
    <row r="348" spans="11:11" x14ac:dyDescent="0.3">
      <c r="K348" s="25"/>
    </row>
    <row r="349" spans="11:11" x14ac:dyDescent="0.3">
      <c r="K349" s="25"/>
    </row>
    <row r="350" spans="11:11" x14ac:dyDescent="0.3">
      <c r="K350" s="25"/>
    </row>
    <row r="351" spans="11:11" x14ac:dyDescent="0.3">
      <c r="K351" s="25"/>
    </row>
    <row r="352" spans="11:11" x14ac:dyDescent="0.3">
      <c r="K352" s="25"/>
    </row>
    <row r="353" spans="11:11" x14ac:dyDescent="0.3">
      <c r="K353" s="25"/>
    </row>
    <row r="354" spans="11:11" x14ac:dyDescent="0.3">
      <c r="K354" s="25"/>
    </row>
    <row r="355" spans="11:11" x14ac:dyDescent="0.3">
      <c r="K355" s="25"/>
    </row>
    <row r="356" spans="11:11" x14ac:dyDescent="0.3">
      <c r="K356" s="25"/>
    </row>
    <row r="357" spans="11:11" x14ac:dyDescent="0.3">
      <c r="K357" s="25"/>
    </row>
    <row r="358" spans="11:11" x14ac:dyDescent="0.3">
      <c r="K358" s="25"/>
    </row>
    <row r="359" spans="11:11" x14ac:dyDescent="0.3">
      <c r="K359" s="25"/>
    </row>
    <row r="360" spans="11:11" x14ac:dyDescent="0.3">
      <c r="K360" s="25"/>
    </row>
  </sheetData>
  <conditionalFormatting sqref="P6:Q62">
    <cfRule type="expression" dxfId="0" priority="1">
      <formula>OR($Q6="Fri",$Q6="Sat")</formula>
    </cfRule>
  </conditionalFormatting>
  <printOptions headings="1"/>
  <pageMargins left="0.3" right="0.3" top="0.5" bottom="0.6" header="0.3" footer="0.3"/>
  <pageSetup scale="94" orientation="landscape" r:id="rId1"/>
  <headerFooter>
    <oddFooter>&amp;L&amp;F - &amp;A 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35EB-36CF-4DCD-9FA9-288F76631300}">
  <sheetPr>
    <tabColor rgb="FF0000FF"/>
    <pageSetUpPr fitToPage="1"/>
  </sheetPr>
  <dimension ref="B2:I8"/>
  <sheetViews>
    <sheetView topLeftCell="A21" zoomScaleNormal="100" workbookViewId="0">
      <selection activeCell="A21" sqref="A21"/>
    </sheetView>
  </sheetViews>
  <sheetFormatPr defaultColWidth="8.88671875" defaultRowHeight="14.4" x14ac:dyDescent="0.3"/>
  <cols>
    <col min="1" max="1" width="1.44140625" customWidth="1"/>
    <col min="2" max="2" width="22.33203125" customWidth="1"/>
    <col min="3" max="3" width="10" bestFit="1" customWidth="1"/>
    <col min="4" max="4" width="8.88671875" customWidth="1"/>
    <col min="5" max="5" width="11.109375" customWidth="1"/>
    <col min="6" max="6" width="1.44140625" customWidth="1"/>
    <col min="7" max="7" width="3" bestFit="1" customWidth="1"/>
    <col min="8" max="8" width="20.33203125" customWidth="1"/>
    <col min="9" max="9" width="47.33203125" customWidth="1"/>
  </cols>
  <sheetData>
    <row r="2" spans="2:9" ht="17.399999999999999" x14ac:dyDescent="0.35">
      <c r="B2" s="10" t="s">
        <v>280</v>
      </c>
      <c r="C2" s="11"/>
      <c r="D2" s="11"/>
      <c r="E2" s="11"/>
      <c r="F2" s="11"/>
      <c r="G2" s="11"/>
      <c r="H2" s="11"/>
      <c r="I2" s="12"/>
    </row>
    <row r="4" spans="2:9" ht="28.8" x14ac:dyDescent="0.3">
      <c r="B4" s="1" t="s">
        <v>0</v>
      </c>
      <c r="C4" s="31" t="s">
        <v>87</v>
      </c>
      <c r="D4" s="31" t="s">
        <v>11</v>
      </c>
      <c r="E4" s="1" t="s">
        <v>32</v>
      </c>
      <c r="G4" s="5" t="str">
        <f>IF(ISNUMBER(C4),COUNT($C4:C$5),"")</f>
        <v/>
      </c>
      <c r="H4" s="2" t="s">
        <v>29</v>
      </c>
      <c r="I4" s="2" t="s">
        <v>16</v>
      </c>
    </row>
    <row r="5" spans="2:9" ht="28.8" x14ac:dyDescent="0.3">
      <c r="B5" s="8" t="s">
        <v>12</v>
      </c>
      <c r="C5" s="13">
        <v>45313</v>
      </c>
      <c r="D5" s="6">
        <v>60</v>
      </c>
      <c r="E5" s="4"/>
      <c r="G5" s="5">
        <v>12</v>
      </c>
      <c r="H5" s="6" t="str">
        <f ca="1">_xlfn.IFNA(ADDRESS(ROW(E5),COLUMN(E5),4)&amp;": "&amp;_xlfn.FORMULATEXT(E5),"")</f>
        <v/>
      </c>
      <c r="I5" s="16" t="s">
        <v>85</v>
      </c>
    </row>
    <row r="6" spans="2:9" ht="28.8" x14ac:dyDescent="0.3">
      <c r="B6" s="8" t="s">
        <v>13</v>
      </c>
      <c r="C6" s="13">
        <v>45342</v>
      </c>
      <c r="D6" s="6">
        <v>0</v>
      </c>
      <c r="E6" s="4"/>
      <c r="G6" s="5">
        <v>13</v>
      </c>
      <c r="H6" s="6" t="str">
        <f t="shared" ref="H6:H8" ca="1" si="0">_xlfn.IFNA(ADDRESS(ROW(E6),COLUMN(E6),4)&amp;": "&amp;_xlfn.FORMULATEXT(E6),"")</f>
        <v/>
      </c>
      <c r="I6" s="16" t="s">
        <v>86</v>
      </c>
    </row>
    <row r="7" spans="2:9" ht="43.2" x14ac:dyDescent="0.3">
      <c r="B7" s="8" t="s">
        <v>83</v>
      </c>
      <c r="C7" s="13">
        <v>45313</v>
      </c>
      <c r="D7" s="6">
        <v>2</v>
      </c>
      <c r="E7" s="4"/>
      <c r="G7" s="5">
        <v>14</v>
      </c>
      <c r="H7" s="6" t="str">
        <f t="shared" ca="1" si="0"/>
        <v/>
      </c>
      <c r="I7" s="138" t="s">
        <v>99</v>
      </c>
    </row>
    <row r="8" spans="2:9" ht="43.2" x14ac:dyDescent="0.3">
      <c r="B8" s="8" t="s">
        <v>84</v>
      </c>
      <c r="C8" s="13">
        <v>45311</v>
      </c>
      <c r="D8" s="6">
        <v>1</v>
      </c>
      <c r="E8" s="4"/>
      <c r="G8" s="5">
        <v>15</v>
      </c>
      <c r="H8" s="6" t="str">
        <f t="shared" ca="1" si="0"/>
        <v/>
      </c>
      <c r="I8" s="139"/>
    </row>
  </sheetData>
  <mergeCells count="1">
    <mergeCell ref="I7:I8"/>
  </mergeCells>
  <printOptions headings="1"/>
  <pageMargins left="0.3" right="0.3" top="0.5" bottom="0.6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BB56-72CB-43D5-90B1-0427319CC63F}">
  <sheetPr>
    <tabColor rgb="FFFF0000"/>
    <pageSetUpPr fitToPage="1"/>
  </sheetPr>
  <dimension ref="B2:I8"/>
  <sheetViews>
    <sheetView zoomScaleNormal="100" workbookViewId="0">
      <selection activeCell="I19" sqref="I19"/>
    </sheetView>
  </sheetViews>
  <sheetFormatPr defaultColWidth="8.88671875" defaultRowHeight="14.4" x14ac:dyDescent="0.3"/>
  <cols>
    <col min="1" max="1" width="1.44140625" customWidth="1"/>
    <col min="2" max="2" width="22.33203125" customWidth="1"/>
    <col min="3" max="3" width="10" bestFit="1" customWidth="1"/>
    <col min="4" max="4" width="8.88671875" customWidth="1"/>
    <col min="5" max="5" width="11.109375" customWidth="1"/>
    <col min="6" max="6" width="1.44140625" customWidth="1"/>
    <col min="7" max="7" width="3" bestFit="1" customWidth="1"/>
    <col min="8" max="8" width="20.33203125" customWidth="1"/>
    <col min="9" max="9" width="47.33203125" customWidth="1"/>
  </cols>
  <sheetData>
    <row r="2" spans="2:9" ht="17.399999999999999" x14ac:dyDescent="0.35">
      <c r="B2" s="10" t="s">
        <v>280</v>
      </c>
      <c r="C2" s="11"/>
      <c r="D2" s="11"/>
      <c r="E2" s="11"/>
      <c r="F2" s="11"/>
      <c r="G2" s="11"/>
      <c r="H2" s="11"/>
      <c r="I2" s="12"/>
    </row>
    <row r="4" spans="2:9" ht="28.8" x14ac:dyDescent="0.3">
      <c r="B4" s="1" t="s">
        <v>0</v>
      </c>
      <c r="C4" s="31" t="s">
        <v>87</v>
      </c>
      <c r="D4" s="31" t="s">
        <v>11</v>
      </c>
      <c r="E4" s="1" t="s">
        <v>32</v>
      </c>
      <c r="G4" s="5" t="str">
        <f>IF(ISNUMBER(C4),COUNT($C4:C$5),"")</f>
        <v/>
      </c>
      <c r="H4" s="2" t="s">
        <v>29</v>
      </c>
      <c r="I4" s="2" t="s">
        <v>16</v>
      </c>
    </row>
    <row r="5" spans="2:9" ht="28.8" x14ac:dyDescent="0.3">
      <c r="B5" s="8" t="s">
        <v>12</v>
      </c>
      <c r="C5" s="13">
        <v>45313</v>
      </c>
      <c r="D5" s="6">
        <v>60</v>
      </c>
      <c r="E5" s="56">
        <f>EDATE(C5,D5)</f>
        <v>47140</v>
      </c>
      <c r="G5" s="5">
        <v>12</v>
      </c>
      <c r="H5" s="6" t="str">
        <f ca="1">_xlfn.IFNA(ADDRESS(ROW(E5),COLUMN(E5),4)&amp;": "&amp;_xlfn.FORMULATEXT(E5),"")</f>
        <v>E5: =EDATE(C5,D5)</v>
      </c>
      <c r="I5" s="16" t="s">
        <v>85</v>
      </c>
    </row>
    <row r="6" spans="2:9" ht="28.8" x14ac:dyDescent="0.3">
      <c r="B6" s="8" t="s">
        <v>13</v>
      </c>
      <c r="C6" s="13">
        <v>45342</v>
      </c>
      <c r="D6" s="6">
        <v>0</v>
      </c>
      <c r="E6" s="56">
        <f>EOMONTH(C6,D6)</f>
        <v>45351</v>
      </c>
      <c r="G6" s="5">
        <v>13</v>
      </c>
      <c r="H6" s="6" t="str">
        <f t="shared" ref="H6:H8" ca="1" si="0">_xlfn.IFNA(ADDRESS(ROW(E6),COLUMN(E6),4)&amp;": "&amp;_xlfn.FORMULATEXT(E6),"")</f>
        <v>E6: =EOMONTH(C6,D6)</v>
      </c>
      <c r="I6" s="16" t="s">
        <v>86</v>
      </c>
    </row>
    <row r="7" spans="2:9" ht="43.2" x14ac:dyDescent="0.3">
      <c r="B7" s="8" t="s">
        <v>83</v>
      </c>
      <c r="C7" s="13">
        <v>45313</v>
      </c>
      <c r="D7" s="6">
        <v>2</v>
      </c>
      <c r="E7" s="56">
        <f>EDATE(C7,D7)</f>
        <v>45373</v>
      </c>
      <c r="G7" s="5">
        <v>14</v>
      </c>
      <c r="H7" s="6" t="str">
        <f t="shared" ca="1" si="0"/>
        <v>E7: =EDATE(C7,D7)</v>
      </c>
      <c r="I7" s="138" t="s">
        <v>99</v>
      </c>
    </row>
    <row r="8" spans="2:9" ht="43.2" x14ac:dyDescent="0.3">
      <c r="B8" s="8" t="s">
        <v>84</v>
      </c>
      <c r="C8" s="13">
        <v>45311</v>
      </c>
      <c r="D8" s="6">
        <v>1</v>
      </c>
      <c r="E8" s="56">
        <f>EOMONTH(C8,D8)</f>
        <v>45351</v>
      </c>
      <c r="G8" s="5">
        <v>15</v>
      </c>
      <c r="H8" s="6" t="str">
        <f t="shared" ca="1" si="0"/>
        <v>E8: =EOMONTH(C8,D8)</v>
      </c>
      <c r="I8" s="139"/>
    </row>
  </sheetData>
  <mergeCells count="1">
    <mergeCell ref="I7:I8"/>
  </mergeCells>
  <printOptions headings="1"/>
  <pageMargins left="0.3" right="0.3" top="0.5" bottom="0.6" header="0.3" footer="0.3"/>
  <pageSetup orientation="landscape" r:id="rId1"/>
  <headerFooter>
    <oddFooter>&amp;L&amp;F - &amp;A 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3175-1FE8-4B26-BF36-3FE1D23B3C80}">
  <sheetPr>
    <tabColor rgb="FF0000FF"/>
  </sheetPr>
  <dimension ref="B2:H9"/>
  <sheetViews>
    <sheetView zoomScale="115" zoomScaleNormal="115" workbookViewId="0"/>
  </sheetViews>
  <sheetFormatPr defaultRowHeight="14.4" x14ac:dyDescent="0.3"/>
  <cols>
    <col min="1" max="1" width="1.44140625" customWidth="1"/>
    <col min="2" max="2" width="16" customWidth="1"/>
    <col min="3" max="3" width="10.6640625" bestFit="1" customWidth="1"/>
    <col min="4" max="4" width="13.44140625" customWidth="1"/>
    <col min="5" max="5" width="1.44140625" customWidth="1"/>
    <col min="6" max="6" width="3" bestFit="1" customWidth="1"/>
    <col min="7" max="7" width="20.33203125" customWidth="1"/>
    <col min="8" max="8" width="35.44140625" customWidth="1"/>
  </cols>
  <sheetData>
    <row r="2" spans="2:8" ht="17.399999999999999" x14ac:dyDescent="0.35">
      <c r="B2" s="10" t="s">
        <v>90</v>
      </c>
      <c r="C2" s="11"/>
      <c r="D2" s="11"/>
      <c r="E2" s="11"/>
      <c r="F2" s="11"/>
      <c r="G2" s="11"/>
      <c r="H2" s="12"/>
    </row>
    <row r="4" spans="2:8" ht="28.8" x14ac:dyDescent="0.3">
      <c r="B4" s="1" t="s">
        <v>0</v>
      </c>
      <c r="C4" s="31" t="s">
        <v>87</v>
      </c>
      <c r="D4" s="1" t="s">
        <v>32</v>
      </c>
      <c r="F4" s="5" t="str">
        <f>IF(ISNUMBER(C4),COUNT($C4:C$5),"")</f>
        <v/>
      </c>
      <c r="G4" s="2" t="s">
        <v>29</v>
      </c>
      <c r="H4" s="2" t="s">
        <v>16</v>
      </c>
    </row>
    <row r="5" spans="2:8" ht="28.8" x14ac:dyDescent="0.3">
      <c r="B5" s="8" t="s">
        <v>88</v>
      </c>
      <c r="C5" s="13">
        <v>45613</v>
      </c>
      <c r="D5" s="4"/>
      <c r="F5" s="5">
        <v>16</v>
      </c>
      <c r="G5" s="6" t="str">
        <f t="shared" ref="G5:G9" ca="1" si="0">_xlfn.IFNA(ADDRESS(ROW(D5),COLUMN(D5),4)&amp;": "&amp;_xlfn.FORMULATEXT(D5),"")</f>
        <v/>
      </c>
      <c r="H5" s="16" t="s">
        <v>93</v>
      </c>
    </row>
    <row r="6" spans="2:8" ht="28.8" x14ac:dyDescent="0.3">
      <c r="B6" s="8" t="s">
        <v>89</v>
      </c>
      <c r="C6" s="13">
        <v>45613</v>
      </c>
      <c r="D6" s="4"/>
      <c r="F6" s="5">
        <v>17</v>
      </c>
      <c r="G6" s="6" t="str">
        <f t="shared" ca="1" si="0"/>
        <v/>
      </c>
      <c r="H6" s="16" t="s">
        <v>94</v>
      </c>
    </row>
    <row r="7" spans="2:8" ht="28.8" x14ac:dyDescent="0.3">
      <c r="B7" s="6" t="s">
        <v>43</v>
      </c>
      <c r="C7" s="13">
        <v>45613</v>
      </c>
      <c r="D7" s="4"/>
      <c r="F7" s="5">
        <v>18</v>
      </c>
      <c r="G7" s="6" t="str">
        <f t="shared" ca="1" si="0"/>
        <v/>
      </c>
      <c r="H7" s="16" t="s">
        <v>95</v>
      </c>
    </row>
    <row r="8" spans="2:8" x14ac:dyDescent="0.3">
      <c r="B8" s="6" t="s">
        <v>91</v>
      </c>
      <c r="C8" s="13">
        <v>45613</v>
      </c>
      <c r="D8" s="4"/>
      <c r="F8" s="5">
        <v>19</v>
      </c>
      <c r="G8" s="6" t="str">
        <f t="shared" ca="1" si="0"/>
        <v/>
      </c>
      <c r="H8" s="135" t="s">
        <v>98</v>
      </c>
    </row>
    <row r="9" spans="2:8" x14ac:dyDescent="0.3">
      <c r="B9" s="6" t="s">
        <v>92</v>
      </c>
      <c r="C9" s="13">
        <v>45613</v>
      </c>
      <c r="D9" s="4"/>
      <c r="F9" s="5">
        <v>20</v>
      </c>
      <c r="G9" s="6" t="str">
        <f t="shared" ca="1" si="0"/>
        <v/>
      </c>
      <c r="H9" s="137"/>
    </row>
  </sheetData>
  <mergeCells count="1">
    <mergeCell ref="H8:H9"/>
  </mergeCells>
  <printOptions headings="1"/>
  <pageMargins left="0.3" right="0.3" top="0.5" bottom="0.6" header="0.3" footer="0.3"/>
  <pageSetup scale="11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E0EF-7BA3-41DB-A451-5C4B4C6BE1BF}">
  <sheetPr>
    <tabColor rgb="FFFF0000"/>
  </sheetPr>
  <dimension ref="B2:H9"/>
  <sheetViews>
    <sheetView zoomScale="115" zoomScaleNormal="115" workbookViewId="0">
      <selection activeCell="I19" sqref="I19"/>
    </sheetView>
  </sheetViews>
  <sheetFormatPr defaultRowHeight="14.4" x14ac:dyDescent="0.3"/>
  <cols>
    <col min="1" max="1" width="1.44140625" customWidth="1"/>
    <col min="2" max="2" width="16" customWidth="1"/>
    <col min="3" max="3" width="10.6640625" bestFit="1" customWidth="1"/>
    <col min="4" max="4" width="13.44140625" customWidth="1"/>
    <col min="5" max="5" width="1.44140625" customWidth="1"/>
    <col min="6" max="6" width="3" bestFit="1" customWidth="1"/>
    <col min="7" max="7" width="20.33203125" customWidth="1"/>
    <col min="8" max="8" width="35.44140625" customWidth="1"/>
  </cols>
  <sheetData>
    <row r="2" spans="2:8" ht="17.399999999999999" x14ac:dyDescent="0.35">
      <c r="B2" s="10" t="s">
        <v>90</v>
      </c>
      <c r="C2" s="11"/>
      <c r="D2" s="11"/>
      <c r="E2" s="11"/>
      <c r="F2" s="11"/>
      <c r="G2" s="11"/>
      <c r="H2" s="12"/>
    </row>
    <row r="4" spans="2:8" ht="28.8" x14ac:dyDescent="0.3">
      <c r="B4" s="1" t="s">
        <v>0</v>
      </c>
      <c r="C4" s="31" t="s">
        <v>87</v>
      </c>
      <c r="D4" s="1" t="s">
        <v>32</v>
      </c>
      <c r="F4" s="5" t="str">
        <f>IF(ISNUMBER(C4),COUNT($C4:C$5),"")</f>
        <v/>
      </c>
      <c r="G4" s="2" t="s">
        <v>29</v>
      </c>
      <c r="H4" s="2" t="s">
        <v>16</v>
      </c>
    </row>
    <row r="5" spans="2:8" ht="28.8" x14ac:dyDescent="0.3">
      <c r="B5" s="8" t="s">
        <v>88</v>
      </c>
      <c r="C5" s="13">
        <v>45613</v>
      </c>
      <c r="D5" s="4">
        <f>YEAR(C5)</f>
        <v>2024</v>
      </c>
      <c r="F5" s="5">
        <v>16</v>
      </c>
      <c r="G5" s="6" t="str">
        <f t="shared" ref="G5:G9" ca="1" si="0">_xlfn.IFNA(ADDRESS(ROW(D5),COLUMN(D5),4)&amp;": "&amp;_xlfn.FORMULATEXT(D5),"")</f>
        <v>D5: =YEAR(C5)</v>
      </c>
      <c r="H5" s="16" t="s">
        <v>93</v>
      </c>
    </row>
    <row r="6" spans="2:8" ht="28.8" x14ac:dyDescent="0.3">
      <c r="B6" s="8" t="s">
        <v>89</v>
      </c>
      <c r="C6" s="13">
        <v>45613</v>
      </c>
      <c r="D6" s="4">
        <f>MONTH(C6)</f>
        <v>11</v>
      </c>
      <c r="F6" s="5">
        <v>17</v>
      </c>
      <c r="G6" s="6" t="str">
        <f t="shared" ca="1" si="0"/>
        <v>D6: =MONTH(C6)</v>
      </c>
      <c r="H6" s="16" t="s">
        <v>94</v>
      </c>
    </row>
    <row r="7" spans="2:8" ht="28.8" x14ac:dyDescent="0.3">
      <c r="B7" s="6" t="s">
        <v>43</v>
      </c>
      <c r="C7" s="13">
        <v>45613</v>
      </c>
      <c r="D7" s="4">
        <f>DAY(C7)</f>
        <v>17</v>
      </c>
      <c r="F7" s="5">
        <v>18</v>
      </c>
      <c r="G7" s="6" t="str">
        <f t="shared" ca="1" si="0"/>
        <v>D7: =DAY(C7)</v>
      </c>
      <c r="H7" s="16" t="s">
        <v>95</v>
      </c>
    </row>
    <row r="8" spans="2:8" x14ac:dyDescent="0.3">
      <c r="B8" s="6" t="s">
        <v>91</v>
      </c>
      <c r="C8" s="13">
        <v>45613</v>
      </c>
      <c r="D8" s="4" t="str">
        <f>TEXT(C8,"dddd")</f>
        <v>Sunday</v>
      </c>
      <c r="F8" s="5">
        <v>19</v>
      </c>
      <c r="G8" s="6" t="str">
        <f t="shared" ca="1" si="0"/>
        <v>D8: =TEXT(C8,"dddd")</v>
      </c>
      <c r="H8" s="135" t="s">
        <v>98</v>
      </c>
    </row>
    <row r="9" spans="2:8" x14ac:dyDescent="0.3">
      <c r="B9" s="6" t="s">
        <v>92</v>
      </c>
      <c r="C9" s="13">
        <v>45613</v>
      </c>
      <c r="D9" s="4" t="str">
        <f>TEXT(C9,"mmm")</f>
        <v>Nov</v>
      </c>
      <c r="F9" s="5">
        <v>20</v>
      </c>
      <c r="G9" s="6" t="str">
        <f t="shared" ca="1" si="0"/>
        <v>D9: =TEXT(C9,"mmm")</v>
      </c>
      <c r="H9" s="137"/>
    </row>
  </sheetData>
  <mergeCells count="1">
    <mergeCell ref="H8:H9"/>
  </mergeCells>
  <printOptions headings="1"/>
  <pageMargins left="0.3" right="0.3" top="0.5" bottom="0.6" header="0.3" footer="0.3"/>
  <pageSetup scale="115" orientation="landscape" r:id="rId1"/>
  <headerFooter>
    <oddFooter>&amp;L&amp;F - &amp;A 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C8C0-8160-4DAC-B427-A15AE62A6A2F}">
  <sheetPr>
    <tabColor rgb="FF0000FF"/>
    <pageSetUpPr fitToPage="1"/>
  </sheetPr>
  <dimension ref="B2:I36"/>
  <sheetViews>
    <sheetView zoomScaleNormal="100" workbookViewId="0"/>
  </sheetViews>
  <sheetFormatPr defaultRowHeight="14.4" x14ac:dyDescent="0.3"/>
  <cols>
    <col min="1" max="1" width="1.88671875" customWidth="1"/>
    <col min="2" max="2" width="25" customWidth="1"/>
    <col min="3" max="3" width="23.109375" customWidth="1"/>
    <col min="4" max="4" width="1.44140625" customWidth="1"/>
    <col min="5" max="5" width="3.33203125" customWidth="1"/>
    <col min="6" max="6" width="10.33203125" customWidth="1"/>
    <col min="9" max="9" width="12" customWidth="1"/>
  </cols>
  <sheetData>
    <row r="2" spans="2:9" x14ac:dyDescent="0.3">
      <c r="B2" s="35" t="s">
        <v>114</v>
      </c>
      <c r="C2" s="35" t="s">
        <v>115</v>
      </c>
    </row>
    <row r="3" spans="2:9" x14ac:dyDescent="0.3">
      <c r="B3" s="117" t="s">
        <v>289</v>
      </c>
      <c r="C3" s="6"/>
      <c r="F3" t="s">
        <v>283</v>
      </c>
    </row>
    <row r="4" spans="2:9" x14ac:dyDescent="0.3">
      <c r="B4" s="117" t="s">
        <v>288</v>
      </c>
      <c r="C4" s="6"/>
      <c r="F4" t="s">
        <v>281</v>
      </c>
    </row>
    <row r="5" spans="2:9" x14ac:dyDescent="0.3">
      <c r="B5" s="128" t="s">
        <v>290</v>
      </c>
      <c r="C5" s="6"/>
      <c r="F5" t="s">
        <v>107</v>
      </c>
    </row>
    <row r="6" spans="2:9" x14ac:dyDescent="0.3">
      <c r="B6" s="117" t="s">
        <v>282</v>
      </c>
      <c r="C6" s="6"/>
      <c r="F6" t="s">
        <v>291</v>
      </c>
    </row>
    <row r="7" spans="2:9" x14ac:dyDescent="0.3">
      <c r="B7" s="16" t="s">
        <v>103</v>
      </c>
      <c r="C7" s="6"/>
      <c r="F7" t="s">
        <v>100</v>
      </c>
    </row>
    <row r="9" spans="2:9" x14ac:dyDescent="0.3">
      <c r="B9" t="s">
        <v>108</v>
      </c>
      <c r="I9" s="59"/>
    </row>
    <row r="10" spans="2:9" x14ac:dyDescent="0.3">
      <c r="B10" t="s">
        <v>109</v>
      </c>
    </row>
    <row r="12" spans="2:9" ht="28.8" x14ac:dyDescent="0.3">
      <c r="B12" s="16" t="s">
        <v>111</v>
      </c>
      <c r="C12" s="6"/>
    </row>
    <row r="13" spans="2:9" ht="43.2" x14ac:dyDescent="0.3">
      <c r="B13" s="16" t="s">
        <v>110</v>
      </c>
      <c r="C13" s="6"/>
      <c r="F13" t="s">
        <v>121</v>
      </c>
    </row>
    <row r="14" spans="2:9" ht="43.2" x14ac:dyDescent="0.3">
      <c r="B14" s="16" t="s">
        <v>112</v>
      </c>
      <c r="C14" s="6"/>
      <c r="F14" t="s">
        <v>113</v>
      </c>
    </row>
    <row r="16" spans="2:9" x14ac:dyDescent="0.3">
      <c r="B16" t="s">
        <v>116</v>
      </c>
    </row>
    <row r="17" spans="2:6" x14ac:dyDescent="0.3">
      <c r="B17" t="s">
        <v>117</v>
      </c>
    </row>
    <row r="19" spans="2:6" x14ac:dyDescent="0.3">
      <c r="B19" s="6" t="s">
        <v>118</v>
      </c>
      <c r="C19" s="36">
        <v>0.33333333333333331</v>
      </c>
    </row>
    <row r="20" spans="2:6" x14ac:dyDescent="0.3">
      <c r="B20" s="6" t="s">
        <v>119</v>
      </c>
      <c r="C20" s="36">
        <v>0.71875</v>
      </c>
    </row>
    <row r="21" spans="2:6" x14ac:dyDescent="0.3">
      <c r="B21" s="6" t="s">
        <v>38</v>
      </c>
      <c r="C21" s="4"/>
      <c r="E21" s="5"/>
      <c r="F21" t="str">
        <f ca="1">"(End Time - Start Time)*24 "&amp;_xlfn.IFNA(_xlfn.FORMULATEXT(C21),"")</f>
        <v xml:space="preserve">(End Time - Start Time)*24 </v>
      </c>
    </row>
    <row r="22" spans="2:6" x14ac:dyDescent="0.3">
      <c r="F22" t="s">
        <v>120</v>
      </c>
    </row>
    <row r="24" spans="2:6" x14ac:dyDescent="0.3">
      <c r="B24" s="6" t="s">
        <v>186</v>
      </c>
      <c r="C24" s="36">
        <v>0.33333333333333331</v>
      </c>
    </row>
    <row r="25" spans="2:6" x14ac:dyDescent="0.3">
      <c r="B25" s="6" t="s">
        <v>187</v>
      </c>
      <c r="C25" s="36">
        <v>0.50347222222222221</v>
      </c>
    </row>
    <row r="26" spans="2:6" x14ac:dyDescent="0.3">
      <c r="B26" s="6" t="s">
        <v>188</v>
      </c>
      <c r="C26" s="36">
        <v>0.55208333333333337</v>
      </c>
    </row>
    <row r="27" spans="2:6" x14ac:dyDescent="0.3">
      <c r="B27" s="6" t="s">
        <v>189</v>
      </c>
      <c r="C27" s="36">
        <v>0.71875</v>
      </c>
    </row>
    <row r="28" spans="2:6" x14ac:dyDescent="0.3">
      <c r="B28" s="6" t="s">
        <v>38</v>
      </c>
      <c r="C28" s="4"/>
      <c r="E28" s="5"/>
      <c r="F28" t="str">
        <f ca="1">_xlfn.IFNA("(EndTime1 - StartTime1+EndTime2 - StartTime2)*24 "&amp;_xlfn.FORMULATEXT(C28),"")</f>
        <v/>
      </c>
    </row>
    <row r="29" spans="2:6" x14ac:dyDescent="0.3">
      <c r="B29" s="123"/>
      <c r="F29" t="s">
        <v>185</v>
      </c>
    </row>
    <row r="30" spans="2:6" x14ac:dyDescent="0.3">
      <c r="F30" t="s">
        <v>120</v>
      </c>
    </row>
    <row r="32" spans="2:6" x14ac:dyDescent="0.3">
      <c r="B32" s="35" t="s">
        <v>284</v>
      </c>
      <c r="C32" s="35" t="s">
        <v>285</v>
      </c>
    </row>
    <row r="33" spans="2:6" x14ac:dyDescent="0.3">
      <c r="B33" s="36">
        <v>0.83333333333333337</v>
      </c>
      <c r="C33" s="6">
        <v>0.83333333333333337</v>
      </c>
      <c r="F33" t="s">
        <v>286</v>
      </c>
    </row>
    <row r="34" spans="2:6" x14ac:dyDescent="0.3">
      <c r="B34" s="36">
        <v>0.83333333333333337</v>
      </c>
      <c r="C34" s="6">
        <v>0.83333333333333337</v>
      </c>
      <c r="F34" t="s">
        <v>287</v>
      </c>
    </row>
    <row r="35" spans="2:6" x14ac:dyDescent="0.3">
      <c r="B35" s="36">
        <v>0.83333333333333337</v>
      </c>
      <c r="C35" s="6">
        <v>0.83333333333333337</v>
      </c>
    </row>
    <row r="36" spans="2:6" x14ac:dyDescent="0.3">
      <c r="B36" s="36">
        <v>0.83333333333333337</v>
      </c>
      <c r="C36" s="6">
        <v>0.83333333333333337</v>
      </c>
    </row>
  </sheetData>
  <printOptions headings="1"/>
  <pageMargins left="0.3" right="0.3" top="0.5" bottom="0.6" header="0.3" footer="0.3"/>
  <pageSetup scale="83" orientation="landscape" r:id="rId1"/>
  <headerFooter>
    <oddFooter>&amp;L&amp;F - &amp;A&amp;CPage &amp;P of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98E9-7BE7-4ECC-AF91-C812715F898F}">
  <sheetPr>
    <tabColor rgb="FFFF0000"/>
    <pageSetUpPr fitToPage="1"/>
  </sheetPr>
  <dimension ref="B2:I36"/>
  <sheetViews>
    <sheetView zoomScaleNormal="100" workbookViewId="0">
      <selection activeCell="I19" sqref="I19"/>
    </sheetView>
  </sheetViews>
  <sheetFormatPr defaultRowHeight="14.4" x14ac:dyDescent="0.3"/>
  <cols>
    <col min="1" max="1" width="1.88671875" customWidth="1"/>
    <col min="2" max="2" width="25" customWidth="1"/>
    <col min="3" max="3" width="23.109375" customWidth="1"/>
    <col min="4" max="4" width="1.44140625" customWidth="1"/>
    <col min="5" max="5" width="3.33203125" customWidth="1"/>
    <col min="6" max="6" width="10.33203125" customWidth="1"/>
    <col min="9" max="9" width="12" customWidth="1"/>
  </cols>
  <sheetData>
    <row r="2" spans="2:9" x14ac:dyDescent="0.3">
      <c r="B2" s="35" t="s">
        <v>114</v>
      </c>
      <c r="C2" s="35" t="s">
        <v>115</v>
      </c>
    </row>
    <row r="3" spans="2:9" x14ac:dyDescent="0.3">
      <c r="B3" s="117" t="s">
        <v>289</v>
      </c>
      <c r="C3" s="59">
        <v>0.84392361111111114</v>
      </c>
      <c r="F3" t="s">
        <v>283</v>
      </c>
    </row>
    <row r="4" spans="2:9" x14ac:dyDescent="0.3">
      <c r="B4" s="117" t="s">
        <v>288</v>
      </c>
      <c r="C4" s="126">
        <v>0.84392361111111114</v>
      </c>
      <c r="F4" t="s">
        <v>281</v>
      </c>
    </row>
    <row r="5" spans="2:9" x14ac:dyDescent="0.3">
      <c r="B5" s="128" t="s">
        <v>290</v>
      </c>
      <c r="C5" s="36">
        <v>0.33333333333333331</v>
      </c>
      <c r="F5" t="s">
        <v>107</v>
      </c>
    </row>
    <row r="6" spans="2:9" x14ac:dyDescent="0.3">
      <c r="B6" s="117" t="s">
        <v>282</v>
      </c>
      <c r="C6" s="36">
        <v>0.71875</v>
      </c>
      <c r="F6" t="s">
        <v>291</v>
      </c>
    </row>
    <row r="7" spans="2:9" x14ac:dyDescent="0.3">
      <c r="B7" s="16" t="s">
        <v>103</v>
      </c>
      <c r="C7" s="36">
        <v>0.78333333333333333</v>
      </c>
      <c r="F7" t="s">
        <v>100</v>
      </c>
    </row>
    <row r="8" spans="2:9" x14ac:dyDescent="0.3">
      <c r="C8" s="127">
        <v>45617.783333333333</v>
      </c>
    </row>
    <row r="9" spans="2:9" x14ac:dyDescent="0.3">
      <c r="B9" t="s">
        <v>108</v>
      </c>
      <c r="I9" s="59"/>
    </row>
    <row r="10" spans="2:9" x14ac:dyDescent="0.3">
      <c r="B10" t="s">
        <v>109</v>
      </c>
    </row>
    <row r="12" spans="2:9" ht="28.8" x14ac:dyDescent="0.3">
      <c r="B12" s="16" t="s">
        <v>111</v>
      </c>
      <c r="C12" s="36">
        <v>0.33333333333333331</v>
      </c>
    </row>
    <row r="13" spans="2:9" ht="43.2" x14ac:dyDescent="0.3">
      <c r="B13" s="16" t="s">
        <v>110</v>
      </c>
      <c r="C13" s="6">
        <v>0.33333333333333331</v>
      </c>
      <c r="F13" t="s">
        <v>121</v>
      </c>
    </row>
    <row r="14" spans="2:9" ht="43.2" x14ac:dyDescent="0.3">
      <c r="B14" s="16" t="s">
        <v>112</v>
      </c>
      <c r="C14" s="60">
        <f>(8+5/60)/24</f>
        <v>0.33680555555555558</v>
      </c>
      <c r="F14" t="s">
        <v>113</v>
      </c>
    </row>
    <row r="16" spans="2:9" x14ac:dyDescent="0.3">
      <c r="B16" t="s">
        <v>116</v>
      </c>
    </row>
    <row r="17" spans="2:6" x14ac:dyDescent="0.3">
      <c r="B17" t="s">
        <v>117</v>
      </c>
    </row>
    <row r="19" spans="2:6" x14ac:dyDescent="0.3">
      <c r="B19" s="6" t="s">
        <v>118</v>
      </c>
      <c r="C19" s="36">
        <v>0.33333333333333331</v>
      </c>
    </row>
    <row r="20" spans="2:6" x14ac:dyDescent="0.3">
      <c r="B20" s="6" t="s">
        <v>119</v>
      </c>
      <c r="C20" s="36">
        <v>0.71875</v>
      </c>
    </row>
    <row r="21" spans="2:6" x14ac:dyDescent="0.3">
      <c r="B21" s="6" t="s">
        <v>38</v>
      </c>
      <c r="C21" s="4">
        <f>(C20-C19)*24</f>
        <v>9.25</v>
      </c>
      <c r="E21" s="5"/>
      <c r="F21" t="str">
        <f ca="1">"(End Time - Start Time)*24 "&amp;_xlfn.IFNA(_xlfn.FORMULATEXT(C21),"")</f>
        <v>(End Time - Start Time)*24 =(C20-C19)*24</v>
      </c>
    </row>
    <row r="22" spans="2:6" x14ac:dyDescent="0.3">
      <c r="F22" t="s">
        <v>120</v>
      </c>
    </row>
    <row r="24" spans="2:6" x14ac:dyDescent="0.3">
      <c r="B24" s="6" t="s">
        <v>186</v>
      </c>
      <c r="C24" s="36">
        <v>0.33333333333333331</v>
      </c>
    </row>
    <row r="25" spans="2:6" x14ac:dyDescent="0.3">
      <c r="B25" s="6" t="s">
        <v>187</v>
      </c>
      <c r="C25" s="36">
        <v>0.50347222222222221</v>
      </c>
    </row>
    <row r="26" spans="2:6" x14ac:dyDescent="0.3">
      <c r="B26" s="6" t="s">
        <v>188</v>
      </c>
      <c r="C26" s="36">
        <v>0.55208333333333337</v>
      </c>
    </row>
    <row r="27" spans="2:6" x14ac:dyDescent="0.3">
      <c r="B27" s="6" t="s">
        <v>189</v>
      </c>
      <c r="C27" s="36">
        <v>0.71875</v>
      </c>
    </row>
    <row r="28" spans="2:6" x14ac:dyDescent="0.3">
      <c r="B28" s="6" t="s">
        <v>38</v>
      </c>
      <c r="C28" s="4">
        <f>(C25-C24+C27-C26)*24</f>
        <v>8.0833333333333321</v>
      </c>
      <c r="E28" s="5"/>
      <c r="F28" t="str">
        <f ca="1">_xlfn.IFNA("(EndTime1 - StartTime1+EndTime2 - StartTime2)*24 "&amp;_xlfn.FORMULATEXT(C28),"")</f>
        <v>(EndTime1 - StartTime1+EndTime2 - StartTime2)*24 =(C25-C24+C27-C26)*24</v>
      </c>
    </row>
    <row r="29" spans="2:6" x14ac:dyDescent="0.3">
      <c r="B29" s="123"/>
      <c r="F29" t="s">
        <v>185</v>
      </c>
    </row>
    <row r="30" spans="2:6" x14ac:dyDescent="0.3">
      <c r="F30" t="s">
        <v>120</v>
      </c>
    </row>
    <row r="32" spans="2:6" x14ac:dyDescent="0.3">
      <c r="B32" s="35" t="s">
        <v>284</v>
      </c>
      <c r="C32" s="35" t="s">
        <v>285</v>
      </c>
    </row>
    <row r="33" spans="2:6" x14ac:dyDescent="0.3">
      <c r="B33" s="36">
        <v>0.83333333333333337</v>
      </c>
      <c r="C33" s="6">
        <v>0.83333333333333337</v>
      </c>
      <c r="F33" t="s">
        <v>286</v>
      </c>
    </row>
    <row r="34" spans="2:6" x14ac:dyDescent="0.3">
      <c r="B34" s="129">
        <v>0.83333333333333337</v>
      </c>
      <c r="C34" s="6">
        <v>0.83333333333333337</v>
      </c>
      <c r="F34" t="s">
        <v>287</v>
      </c>
    </row>
    <row r="35" spans="2:6" x14ac:dyDescent="0.3">
      <c r="B35" s="131">
        <v>0.83333333333333337</v>
      </c>
      <c r="C35" s="6">
        <v>0.83333333333333337</v>
      </c>
    </row>
    <row r="36" spans="2:6" x14ac:dyDescent="0.3">
      <c r="B36" s="130">
        <v>0.83333333333333337</v>
      </c>
      <c r="C36" s="6">
        <v>0.83333333333333337</v>
      </c>
    </row>
  </sheetData>
  <printOptions headings="1"/>
  <pageMargins left="0.3" right="0.3" top="0.5" bottom="0.6" header="0.3" footer="0.3"/>
  <pageSetup scale="83" orientation="landscape" r:id="rId1"/>
  <headerFooter>
    <oddFooter>&amp;L&amp;F - &amp;A&amp;CPage &amp;P of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FB7B-1209-4FEF-9421-978E87B2EB23}">
  <sheetPr>
    <tabColor rgb="FFFFFF00"/>
  </sheetPr>
  <dimension ref="B1:D23"/>
  <sheetViews>
    <sheetView showGridLines="0" zoomScaleNormal="100" workbookViewId="0">
      <selection activeCell="I19" sqref="I19"/>
    </sheetView>
  </sheetViews>
  <sheetFormatPr defaultRowHeight="14.4" x14ac:dyDescent="0.3"/>
  <cols>
    <col min="1" max="1" width="2.5546875" customWidth="1"/>
    <col min="2" max="2" width="18.44140625" customWidth="1"/>
    <col min="3" max="3" width="21.44140625" customWidth="1"/>
    <col min="4" max="4" width="19.44140625" customWidth="1"/>
    <col min="6" max="6" width="7.88671875" bestFit="1" customWidth="1"/>
    <col min="7" max="7" width="16.44140625" bestFit="1" customWidth="1"/>
    <col min="8" max="8" width="13.88671875" bestFit="1" customWidth="1"/>
  </cols>
  <sheetData>
    <row r="1" spans="2:4" ht="15" thickBot="1" x14ac:dyDescent="0.35"/>
    <row r="2" spans="2:4" x14ac:dyDescent="0.3">
      <c r="B2" s="96" t="s">
        <v>156</v>
      </c>
      <c r="C2" s="89"/>
      <c r="D2" s="90"/>
    </row>
    <row r="3" spans="2:4" x14ac:dyDescent="0.3">
      <c r="B3" s="91" t="s">
        <v>157</v>
      </c>
      <c r="C3" s="23"/>
      <c r="D3" s="92"/>
    </row>
    <row r="4" spans="2:4" x14ac:dyDescent="0.3">
      <c r="B4" s="91" t="s">
        <v>158</v>
      </c>
      <c r="C4" s="23"/>
      <c r="D4" s="92"/>
    </row>
    <row r="5" spans="2:4" x14ac:dyDescent="0.3">
      <c r="B5" s="91" t="s">
        <v>159</v>
      </c>
      <c r="C5" s="23"/>
      <c r="D5" s="92"/>
    </row>
    <row r="6" spans="2:4" x14ac:dyDescent="0.3">
      <c r="B6" s="91" t="s">
        <v>160</v>
      </c>
      <c r="C6" s="23"/>
      <c r="D6" s="92"/>
    </row>
    <row r="7" spans="2:4" x14ac:dyDescent="0.3">
      <c r="B7" s="91" t="s">
        <v>161</v>
      </c>
      <c r="C7" s="23"/>
      <c r="D7" s="92"/>
    </row>
    <row r="8" spans="2:4" x14ac:dyDescent="0.3">
      <c r="B8" s="91" t="s">
        <v>162</v>
      </c>
      <c r="C8" s="23"/>
      <c r="D8" s="92"/>
    </row>
    <row r="9" spans="2:4" ht="15" thickBot="1" x14ac:dyDescent="0.35">
      <c r="B9" s="93" t="s">
        <v>163</v>
      </c>
      <c r="C9" s="94"/>
      <c r="D9" s="95"/>
    </row>
    <row r="11" spans="2:4" ht="28.8" x14ac:dyDescent="0.3">
      <c r="B11" s="61" t="s">
        <v>164</v>
      </c>
      <c r="C11" s="74" t="s">
        <v>165</v>
      </c>
      <c r="D11" s="74" t="s">
        <v>166</v>
      </c>
    </row>
    <row r="12" spans="2:4" x14ac:dyDescent="0.3">
      <c r="B12" s="75">
        <v>0.5625</v>
      </c>
      <c r="C12" s="76" t="s">
        <v>167</v>
      </c>
      <c r="D12" s="76">
        <f t="shared" ref="D12:D18" si="0">B12</f>
        <v>0.5625</v>
      </c>
    </row>
    <row r="13" spans="2:4" x14ac:dyDescent="0.3">
      <c r="B13" s="77">
        <v>0.5625</v>
      </c>
      <c r="C13" s="76" t="s">
        <v>168</v>
      </c>
      <c r="D13" s="76">
        <f t="shared" si="0"/>
        <v>0.5625</v>
      </c>
    </row>
    <row r="14" spans="2:4" x14ac:dyDescent="0.3">
      <c r="B14" s="78">
        <v>0.5625</v>
      </c>
      <c r="C14" s="76" t="s">
        <v>169</v>
      </c>
      <c r="D14" s="76">
        <f t="shared" si="0"/>
        <v>0.5625</v>
      </c>
    </row>
    <row r="15" spans="2:4" x14ac:dyDescent="0.3">
      <c r="B15" s="79">
        <v>0.5625</v>
      </c>
      <c r="C15" s="76" t="s">
        <v>170</v>
      </c>
      <c r="D15" s="76">
        <f t="shared" si="0"/>
        <v>0.5625</v>
      </c>
    </row>
    <row r="16" spans="2:4" x14ac:dyDescent="0.3">
      <c r="B16" s="80">
        <v>1.0416666666666666E-2</v>
      </c>
      <c r="C16" s="6" t="s">
        <v>171</v>
      </c>
      <c r="D16" s="6">
        <f t="shared" si="0"/>
        <v>1.0416666666666666E-2</v>
      </c>
    </row>
    <row r="17" spans="2:4" x14ac:dyDescent="0.3">
      <c r="B17" s="80">
        <v>1.7361111111111112E-4</v>
      </c>
      <c r="C17" s="6" t="s">
        <v>171</v>
      </c>
      <c r="D17" s="6">
        <f t="shared" si="0"/>
        <v>1.7361111111111112E-4</v>
      </c>
    </row>
    <row r="18" spans="2:4" x14ac:dyDescent="0.3">
      <c r="B18" s="81">
        <v>0.33333333333333331</v>
      </c>
      <c r="C18" s="6" t="s">
        <v>172</v>
      </c>
      <c r="D18" s="6">
        <f t="shared" si="0"/>
        <v>0.33333333333333331</v>
      </c>
    </row>
    <row r="19" spans="2:4" x14ac:dyDescent="0.3">
      <c r="B19" s="82">
        <v>44804.335416666669</v>
      </c>
      <c r="C19" s="83" t="s">
        <v>173</v>
      </c>
      <c r="D19" s="84">
        <f>B19</f>
        <v>44804.335416666669</v>
      </c>
    </row>
    <row r="20" spans="2:4" x14ac:dyDescent="0.3">
      <c r="B20" s="85">
        <v>44804.335416666669</v>
      </c>
      <c r="C20" s="83" t="s">
        <v>174</v>
      </c>
      <c r="D20" s="84">
        <f>B20</f>
        <v>44804.335416666669</v>
      </c>
    </row>
    <row r="21" spans="2:4" x14ac:dyDescent="0.3">
      <c r="B21" s="86">
        <v>1.25</v>
      </c>
      <c r="C21" s="76" t="s">
        <v>175</v>
      </c>
      <c r="D21" s="76">
        <f>B21</f>
        <v>1.25</v>
      </c>
    </row>
    <row r="22" spans="2:4" x14ac:dyDescent="0.3">
      <c r="B22" s="87">
        <f>B21</f>
        <v>1.25</v>
      </c>
      <c r="C22" s="76" t="s">
        <v>176</v>
      </c>
      <c r="D22" s="76">
        <f>B22</f>
        <v>1.25</v>
      </c>
    </row>
    <row r="23" spans="2:4" x14ac:dyDescent="0.3">
      <c r="B23" s="88">
        <v>3.2708333333333335</v>
      </c>
      <c r="C23" s="6" t="s">
        <v>176</v>
      </c>
      <c r="D23" s="6">
        <f>B23</f>
        <v>3.2708333333333335</v>
      </c>
    </row>
  </sheetData>
  <pageMargins left="0.3" right="0.3" top="0.5" bottom="0.6" header="0.3" footer="0.3"/>
  <pageSetup scale="125" orientation="landscape" r:id="rId1"/>
  <headerFooter>
    <oddFooter>&amp;L&amp;F - &amp;A&amp;CPage &amp;P of &amp;N</oddFooter>
  </headerFooter>
  <ignoredErrors>
    <ignoredError xmlns:x16r3="http://schemas.microsoft.com/office/spreadsheetml/2018/08/main" sqref="D12:D23" x16r3:misleadingForma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7A98-8D0F-4389-B0AA-E58D3E08DEAA}">
  <sheetPr>
    <tabColor rgb="FF0000FF"/>
    <pageSetUpPr fitToPage="1"/>
  </sheetPr>
  <dimension ref="B1:K24"/>
  <sheetViews>
    <sheetView zoomScaleNormal="100" workbookViewId="0"/>
  </sheetViews>
  <sheetFormatPr defaultColWidth="8.88671875" defaultRowHeight="14.4" x14ac:dyDescent="0.3"/>
  <cols>
    <col min="1" max="1" width="1.44140625" customWidth="1"/>
    <col min="2" max="2" width="12.44140625" customWidth="1"/>
    <col min="3" max="3" width="14" customWidth="1"/>
    <col min="4" max="4" width="10.33203125" customWidth="1"/>
    <col min="5" max="5" width="12.21875" customWidth="1"/>
    <col min="6" max="6" width="17.33203125" customWidth="1"/>
    <col min="7" max="7" width="19.88671875" customWidth="1"/>
    <col min="8" max="8" width="15.33203125" customWidth="1"/>
    <col min="9" max="9" width="1.33203125" customWidth="1"/>
    <col min="10" max="10" width="3" bestFit="1" customWidth="1"/>
    <col min="11" max="11" width="40.33203125" customWidth="1"/>
    <col min="12" max="12" width="14.109375" customWidth="1"/>
  </cols>
  <sheetData>
    <row r="1" spans="2:11" ht="9.75" customHeight="1" x14ac:dyDescent="0.3"/>
    <row r="2" spans="2:11" ht="18" x14ac:dyDescent="0.35">
      <c r="B2" s="32" t="s">
        <v>33</v>
      </c>
      <c r="C2" s="33"/>
      <c r="D2" s="33"/>
      <c r="E2" s="33"/>
      <c r="F2" s="33"/>
      <c r="G2" s="33"/>
      <c r="H2" s="33"/>
      <c r="I2" s="33"/>
      <c r="J2" s="33"/>
      <c r="K2" s="34"/>
    </row>
    <row r="3" spans="2:11" ht="9.75" customHeight="1" x14ac:dyDescent="0.3"/>
    <row r="4" spans="2:11" x14ac:dyDescent="0.3">
      <c r="B4" s="35" t="s">
        <v>34</v>
      </c>
      <c r="C4" s="35" t="s">
        <v>35</v>
      </c>
      <c r="D4" s="35" t="s">
        <v>36</v>
      </c>
      <c r="E4" s="35" t="s">
        <v>37</v>
      </c>
      <c r="F4" s="35" t="s">
        <v>38</v>
      </c>
      <c r="G4" s="35" t="s">
        <v>39</v>
      </c>
      <c r="H4" t="s">
        <v>181</v>
      </c>
    </row>
    <row r="5" spans="2:11" x14ac:dyDescent="0.3">
      <c r="B5" s="6" t="s">
        <v>180</v>
      </c>
      <c r="C5" s="6">
        <v>27.55</v>
      </c>
      <c r="D5" s="36">
        <v>0.33333333333333331</v>
      </c>
      <c r="E5" s="36">
        <v>0.54861111111111116</v>
      </c>
      <c r="F5" s="4"/>
      <c r="G5" s="4"/>
      <c r="H5" t="s">
        <v>182</v>
      </c>
    </row>
    <row r="6" spans="2:11" x14ac:dyDescent="0.3">
      <c r="E6" s="37" t="s">
        <v>29</v>
      </c>
      <c r="F6" s="6" t="str">
        <f ca="1">_xlfn.IFNA(ADDRESS(ROW(F5),COLUMN(F5),4)&amp;": "&amp;_xlfn.FORMULATEXT(F5),"")</f>
        <v/>
      </c>
      <c r="G6" s="6" t="str">
        <f ca="1">_xlfn.IFNA(ADDRESS(ROW(G5),COLUMN(G5),4)&amp;": "&amp;_xlfn.FORMULATEXT(G5),"")</f>
        <v/>
      </c>
    </row>
    <row r="7" spans="2:11" x14ac:dyDescent="0.3">
      <c r="F7" s="5" t="s">
        <v>190</v>
      </c>
      <c r="G7" s="5" t="s">
        <v>191</v>
      </c>
    </row>
    <row r="8" spans="2:11" x14ac:dyDescent="0.3">
      <c r="F8" s="5">
        <v>21</v>
      </c>
      <c r="G8" s="5">
        <v>22</v>
      </c>
    </row>
    <row r="10" spans="2:11" x14ac:dyDescent="0.3">
      <c r="E10" s="37" t="s">
        <v>40</v>
      </c>
      <c r="F10" s="38" t="s">
        <v>41</v>
      </c>
      <c r="G10" s="20"/>
      <c r="H10" s="21"/>
    </row>
    <row r="11" spans="2:11" x14ac:dyDescent="0.3">
      <c r="F11" s="99" t="s">
        <v>42</v>
      </c>
      <c r="G11" s="23"/>
      <c r="H11" s="24"/>
    </row>
    <row r="12" spans="2:11" x14ac:dyDescent="0.3">
      <c r="F12" s="103"/>
      <c r="G12" s="23"/>
      <c r="H12" s="102" t="s">
        <v>192</v>
      </c>
    </row>
    <row r="13" spans="2:11" x14ac:dyDescent="0.3">
      <c r="F13" s="100"/>
      <c r="G13" s="27"/>
      <c r="H13" s="101" t="s">
        <v>193</v>
      </c>
    </row>
    <row r="14" spans="2:11" ht="15" thickBot="1" x14ac:dyDescent="0.35"/>
    <row r="15" spans="2:11" x14ac:dyDescent="0.3">
      <c r="E15" s="107" t="s">
        <v>194</v>
      </c>
      <c r="F15" s="108"/>
    </row>
    <row r="16" spans="2:11" x14ac:dyDescent="0.3">
      <c r="B16" s="1" t="s">
        <v>34</v>
      </c>
      <c r="C16" s="1" t="s">
        <v>43</v>
      </c>
      <c r="D16" s="54" t="s">
        <v>195</v>
      </c>
      <c r="E16" s="109" t="s">
        <v>196</v>
      </c>
      <c r="F16" s="110" t="s">
        <v>197</v>
      </c>
      <c r="G16" s="105" t="s">
        <v>198</v>
      </c>
      <c r="H16" s="1" t="s">
        <v>38</v>
      </c>
      <c r="K16" s="5"/>
    </row>
    <row r="17" spans="2:11" x14ac:dyDescent="0.3">
      <c r="B17" s="6" t="s">
        <v>180</v>
      </c>
      <c r="C17" s="6" t="s">
        <v>44</v>
      </c>
      <c r="D17" s="104">
        <v>0.35416666666666669</v>
      </c>
      <c r="E17" s="111">
        <v>0.5</v>
      </c>
      <c r="F17" s="112">
        <v>0.52083333333333337</v>
      </c>
      <c r="G17" s="106">
        <v>0.73749999999999993</v>
      </c>
      <c r="H17" s="4"/>
      <c r="J17" s="5">
        <v>23</v>
      </c>
      <c r="K17" s="6" t="str">
        <f ca="1">_xlfn.IFNA(ADDRESS(ROW(H17),COLUMN(H17),4)&amp;": "&amp;_xlfn.FORMULATEXT(H17),"")</f>
        <v/>
      </c>
    </row>
    <row r="18" spans="2:11" x14ac:dyDescent="0.3">
      <c r="B18" s="6"/>
      <c r="C18" s="6" t="s">
        <v>45</v>
      </c>
      <c r="D18" s="104">
        <v>0.35416666666666669</v>
      </c>
      <c r="E18" s="111">
        <v>0.5</v>
      </c>
      <c r="F18" s="112">
        <v>0.52083333333333337</v>
      </c>
      <c r="G18" s="106">
        <v>0.70833333333333337</v>
      </c>
      <c r="H18" s="4"/>
    </row>
    <row r="19" spans="2:11" x14ac:dyDescent="0.3">
      <c r="B19" s="6"/>
      <c r="C19" s="6" t="s">
        <v>46</v>
      </c>
      <c r="D19" s="104">
        <v>0.39583333333333331</v>
      </c>
      <c r="E19" s="111">
        <v>0.50694444444444442</v>
      </c>
      <c r="F19" s="112">
        <v>0.52083333333333337</v>
      </c>
      <c r="G19" s="106">
        <v>0.66666666666666663</v>
      </c>
      <c r="H19" s="4"/>
    </row>
    <row r="20" spans="2:11" x14ac:dyDescent="0.3">
      <c r="B20" s="6"/>
      <c r="C20" s="6" t="s">
        <v>47</v>
      </c>
      <c r="D20" s="104">
        <v>0.35416666666666669</v>
      </c>
      <c r="E20" s="111">
        <v>0.5</v>
      </c>
      <c r="F20" s="112">
        <v>0.5625</v>
      </c>
      <c r="G20" s="106">
        <v>0.72916666666666663</v>
      </c>
      <c r="H20" s="4"/>
    </row>
    <row r="21" spans="2:11" ht="15" thickBot="1" x14ac:dyDescent="0.35">
      <c r="B21" s="6"/>
      <c r="C21" s="6" t="s">
        <v>48</v>
      </c>
      <c r="D21" s="104">
        <v>0.29166666666666669</v>
      </c>
      <c r="E21" s="113">
        <v>0.4375</v>
      </c>
      <c r="F21" s="114">
        <v>0.46875</v>
      </c>
      <c r="G21" s="106">
        <v>0.625</v>
      </c>
      <c r="H21" s="4"/>
    </row>
    <row r="22" spans="2:11" x14ac:dyDescent="0.3">
      <c r="B22" s="39" t="s">
        <v>49</v>
      </c>
      <c r="C22" s="40"/>
      <c r="D22" s="40"/>
      <c r="E22" s="40"/>
      <c r="F22" s="40"/>
      <c r="G22" s="97" t="s">
        <v>50</v>
      </c>
      <c r="H22" s="41"/>
      <c r="K22" s="6" t="str">
        <f ca="1">_xlfn.IFNA(ADDRESS(ROW(H22),COLUMN(H22),4)&amp;": "&amp;_xlfn.FORMULATEXT(H22),"")</f>
        <v/>
      </c>
    </row>
    <row r="23" spans="2:11" x14ac:dyDescent="0.3">
      <c r="G23" s="2" t="s">
        <v>183</v>
      </c>
      <c r="H23" s="47">
        <v>35.75</v>
      </c>
    </row>
    <row r="24" spans="2:11" x14ac:dyDescent="0.3">
      <c r="G24" s="2" t="s">
        <v>184</v>
      </c>
      <c r="H24" s="98"/>
      <c r="K24" s="6" t="str">
        <f ca="1">_xlfn.IFNA(ADDRESS(ROW(H24),COLUMN(H24),4)&amp;": "&amp;_xlfn.FORMULATEXT(H24),"")</f>
        <v/>
      </c>
    </row>
  </sheetData>
  <printOptions headings="1"/>
  <pageMargins left="0.3" right="0.3" top="0.5" bottom="0.6" header="0.3" footer="0.3"/>
  <pageSetup scale="87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7801-5C77-45C7-AC87-65028C6CB7AC}">
  <sheetPr>
    <tabColor rgb="FFFF0000"/>
    <pageSetUpPr fitToPage="1"/>
  </sheetPr>
  <dimension ref="B1:K24"/>
  <sheetViews>
    <sheetView zoomScaleNormal="100" workbookViewId="0">
      <selection activeCell="I19" sqref="I19"/>
    </sheetView>
  </sheetViews>
  <sheetFormatPr defaultColWidth="8.88671875" defaultRowHeight="14.4" x14ac:dyDescent="0.3"/>
  <cols>
    <col min="1" max="1" width="1.44140625" customWidth="1"/>
    <col min="2" max="2" width="12.44140625" customWidth="1"/>
    <col min="3" max="3" width="14" customWidth="1"/>
    <col min="4" max="4" width="10.33203125" customWidth="1"/>
    <col min="5" max="5" width="12.21875" customWidth="1"/>
    <col min="6" max="6" width="17.33203125" customWidth="1"/>
    <col min="7" max="7" width="19.88671875" customWidth="1"/>
    <col min="8" max="8" width="15.33203125" customWidth="1"/>
    <col min="9" max="9" width="1.33203125" customWidth="1"/>
    <col min="10" max="10" width="3" bestFit="1" customWidth="1"/>
    <col min="11" max="11" width="40.33203125" customWidth="1"/>
    <col min="12" max="12" width="1.33203125" customWidth="1"/>
  </cols>
  <sheetData>
    <row r="1" spans="2:11" ht="9.75" customHeight="1" x14ac:dyDescent="0.3"/>
    <row r="2" spans="2:11" ht="18" x14ac:dyDescent="0.35">
      <c r="B2" s="32" t="s">
        <v>33</v>
      </c>
      <c r="C2" s="33"/>
      <c r="D2" s="33"/>
      <c r="E2" s="33"/>
      <c r="F2" s="33"/>
      <c r="G2" s="33"/>
      <c r="H2" s="33"/>
      <c r="I2" s="33"/>
      <c r="J2" s="33"/>
      <c r="K2" s="34"/>
    </row>
    <row r="3" spans="2:11" ht="9.75" customHeight="1" x14ac:dyDescent="0.3"/>
    <row r="4" spans="2:11" x14ac:dyDescent="0.3">
      <c r="B4" s="35" t="s">
        <v>34</v>
      </c>
      <c r="C4" s="35" t="s">
        <v>35</v>
      </c>
      <c r="D4" s="35" t="s">
        <v>36</v>
      </c>
      <c r="E4" s="35" t="s">
        <v>37</v>
      </c>
      <c r="F4" s="35" t="s">
        <v>38</v>
      </c>
      <c r="G4" s="35" t="s">
        <v>39</v>
      </c>
      <c r="H4" t="s">
        <v>181</v>
      </c>
    </row>
    <row r="5" spans="2:11" x14ac:dyDescent="0.3">
      <c r="B5" s="6" t="s">
        <v>180</v>
      </c>
      <c r="C5" s="6">
        <v>27.55</v>
      </c>
      <c r="D5" s="36">
        <v>0.33333333333333331</v>
      </c>
      <c r="E5" s="36">
        <v>0.54861111111111116</v>
      </c>
      <c r="F5" s="4">
        <f>(E5-D5)*24</f>
        <v>5.1666666666666679</v>
      </c>
      <c r="G5" s="4">
        <f>ROUND(F5*C5,2)</f>
        <v>142.34</v>
      </c>
      <c r="H5" t="s">
        <v>182</v>
      </c>
    </row>
    <row r="6" spans="2:11" x14ac:dyDescent="0.3">
      <c r="E6" s="37" t="s">
        <v>29</v>
      </c>
      <c r="F6" s="6" t="str">
        <f ca="1">_xlfn.IFNA(ADDRESS(ROW(F5),COLUMN(F5),4)&amp;": "&amp;_xlfn.FORMULATEXT(F5),"")</f>
        <v>F5: =(E5-D5)*24</v>
      </c>
      <c r="G6" s="6" t="str">
        <f ca="1">_xlfn.IFNA(ADDRESS(ROW(G5),COLUMN(G5),4)&amp;": "&amp;_xlfn.FORMULATEXT(G5),"")</f>
        <v>G5: =ROUND(F5*C5,2)</v>
      </c>
    </row>
    <row r="7" spans="2:11" x14ac:dyDescent="0.3">
      <c r="F7" s="5" t="s">
        <v>190</v>
      </c>
      <c r="G7" s="5" t="s">
        <v>191</v>
      </c>
    </row>
    <row r="8" spans="2:11" x14ac:dyDescent="0.3">
      <c r="F8" s="5">
        <v>21</v>
      </c>
      <c r="G8" s="5">
        <v>22</v>
      </c>
    </row>
    <row r="10" spans="2:11" x14ac:dyDescent="0.3">
      <c r="E10" s="37" t="s">
        <v>40</v>
      </c>
      <c r="F10" s="38" t="s">
        <v>41</v>
      </c>
      <c r="G10" s="20"/>
      <c r="H10" s="21"/>
    </row>
    <row r="11" spans="2:11" x14ac:dyDescent="0.3">
      <c r="F11" s="99" t="s">
        <v>42</v>
      </c>
      <c r="G11" s="23"/>
      <c r="H11" s="24"/>
    </row>
    <row r="12" spans="2:11" x14ac:dyDescent="0.3">
      <c r="F12" s="103"/>
      <c r="G12" s="23"/>
      <c r="H12" s="102" t="s">
        <v>192</v>
      </c>
    </row>
    <row r="13" spans="2:11" x14ac:dyDescent="0.3">
      <c r="F13" s="100"/>
      <c r="G13" s="27"/>
      <c r="H13" s="101" t="s">
        <v>193</v>
      </c>
    </row>
    <row r="14" spans="2:11" ht="15" thickBot="1" x14ac:dyDescent="0.35"/>
    <row r="15" spans="2:11" x14ac:dyDescent="0.3">
      <c r="E15" s="107" t="s">
        <v>194</v>
      </c>
      <c r="F15" s="108"/>
    </row>
    <row r="16" spans="2:11" x14ac:dyDescent="0.3">
      <c r="B16" s="1" t="s">
        <v>34</v>
      </c>
      <c r="C16" s="1" t="s">
        <v>43</v>
      </c>
      <c r="D16" s="54" t="s">
        <v>195</v>
      </c>
      <c r="E16" s="109" t="s">
        <v>196</v>
      </c>
      <c r="F16" s="110" t="s">
        <v>197</v>
      </c>
      <c r="G16" s="105" t="s">
        <v>198</v>
      </c>
      <c r="H16" s="1" t="s">
        <v>38</v>
      </c>
      <c r="K16" s="5"/>
    </row>
    <row r="17" spans="2:11" x14ac:dyDescent="0.3">
      <c r="B17" s="6" t="s">
        <v>180</v>
      </c>
      <c r="C17" s="6" t="s">
        <v>44</v>
      </c>
      <c r="D17" s="104">
        <v>0.35416666666666669</v>
      </c>
      <c r="E17" s="111">
        <v>0.5</v>
      </c>
      <c r="F17" s="112">
        <v>0.52083333333333337</v>
      </c>
      <c r="G17" s="106">
        <v>0.73749999999999993</v>
      </c>
      <c r="H17" s="4" cm="1">
        <f t="array" ref="H17:H21">(E17:E21-D17:D21+G17:G21-F17:F21)*24</f>
        <v>8.6999999999999993</v>
      </c>
      <c r="J17" s="5">
        <v>23</v>
      </c>
      <c r="K17" s="6" t="str">
        <f ca="1">_xlfn.IFNA(ADDRESS(ROW(H17),COLUMN(H17),4)&amp;": "&amp;_xlfn.FORMULATEXT(H17),"")</f>
        <v>H17: =(E17:E21-D17:D21+G17:G21-F17:F21)*24</v>
      </c>
    </row>
    <row r="18" spans="2:11" x14ac:dyDescent="0.3">
      <c r="B18" s="6"/>
      <c r="C18" s="6" t="s">
        <v>45</v>
      </c>
      <c r="D18" s="104">
        <v>0.35416666666666669</v>
      </c>
      <c r="E18" s="111">
        <v>0.5</v>
      </c>
      <c r="F18" s="112">
        <v>0.52083333333333337</v>
      </c>
      <c r="G18" s="106">
        <v>0.70833333333333337</v>
      </c>
      <c r="H18" s="4">
        <v>8</v>
      </c>
    </row>
    <row r="19" spans="2:11" x14ac:dyDescent="0.3">
      <c r="B19" s="6"/>
      <c r="C19" s="6" t="s">
        <v>46</v>
      </c>
      <c r="D19" s="104">
        <v>0.39583333333333331</v>
      </c>
      <c r="E19" s="111">
        <v>0.50694444444444442</v>
      </c>
      <c r="F19" s="112">
        <v>0.52083333333333337</v>
      </c>
      <c r="G19" s="106">
        <v>0.66666666666666663</v>
      </c>
      <c r="H19" s="4">
        <v>6.1666666666666634</v>
      </c>
    </row>
    <row r="20" spans="2:11" x14ac:dyDescent="0.3">
      <c r="B20" s="6"/>
      <c r="C20" s="6" t="s">
        <v>47</v>
      </c>
      <c r="D20" s="104">
        <v>0.35416666666666669</v>
      </c>
      <c r="E20" s="111">
        <v>0.5</v>
      </c>
      <c r="F20" s="112">
        <v>0.5625</v>
      </c>
      <c r="G20" s="106">
        <v>0.72916666666666663</v>
      </c>
      <c r="H20" s="4">
        <v>7.5</v>
      </c>
    </row>
    <row r="21" spans="2:11" ht="15" thickBot="1" x14ac:dyDescent="0.35">
      <c r="B21" s="6"/>
      <c r="C21" s="6" t="s">
        <v>48</v>
      </c>
      <c r="D21" s="104">
        <v>0.29166666666666669</v>
      </c>
      <c r="E21" s="113">
        <v>0.4375</v>
      </c>
      <c r="F21" s="114">
        <v>0.46875</v>
      </c>
      <c r="G21" s="106">
        <v>0.625</v>
      </c>
      <c r="H21" s="4">
        <v>7.2499999999999982</v>
      </c>
    </row>
    <row r="22" spans="2:11" x14ac:dyDescent="0.3">
      <c r="B22" s="39" t="s">
        <v>49</v>
      </c>
      <c r="C22" s="40"/>
      <c r="D22" s="40"/>
      <c r="E22" s="40"/>
      <c r="F22" s="40"/>
      <c r="G22" s="97" t="s">
        <v>50</v>
      </c>
      <c r="H22" s="41">
        <f>SUM(_xlfn.ANCHORARRAY(H17))</f>
        <v>37.61666666666666</v>
      </c>
      <c r="K22" s="6" t="str">
        <f ca="1">_xlfn.IFNA(ADDRESS(ROW(H22),COLUMN(H22),4)&amp;": "&amp;_xlfn.FORMULATEXT(H22),"")</f>
        <v>H22: =SUM(H17#)</v>
      </c>
    </row>
    <row r="23" spans="2:11" x14ac:dyDescent="0.3">
      <c r="G23" s="2" t="s">
        <v>183</v>
      </c>
      <c r="H23" s="47">
        <v>35.75</v>
      </c>
    </row>
    <row r="24" spans="2:11" x14ac:dyDescent="0.3">
      <c r="G24" s="2" t="s">
        <v>184</v>
      </c>
      <c r="H24" s="98">
        <f>ROUND(H23*H22,2)</f>
        <v>1344.8</v>
      </c>
      <c r="K24" s="6" t="str">
        <f ca="1">_xlfn.IFNA(ADDRESS(ROW(H24),COLUMN(H24),4)&amp;": "&amp;_xlfn.FORMULATEXT(H24),"")</f>
        <v>H24: =ROUND(H23*H22,2)</v>
      </c>
    </row>
  </sheetData>
  <printOptions headings="1"/>
  <pageMargins left="0.3" right="0.3" top="0.5" bottom="0.6" header="0.3" footer="0.3"/>
  <pageSetup scale="86" orientation="landscape" r:id="rId1"/>
  <headerFooter>
    <oddFooter>&amp;L&amp;F - &amp;A &amp;CPage &amp;P of 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5FD7-BE5B-4C98-B7AB-C96218642126}">
  <sheetPr>
    <tabColor rgb="FF0000FF"/>
    <pageSetUpPr fitToPage="1"/>
  </sheetPr>
  <dimension ref="B2:J19"/>
  <sheetViews>
    <sheetView zoomScaleNormal="100" workbookViewId="0"/>
  </sheetViews>
  <sheetFormatPr defaultColWidth="15.33203125" defaultRowHeight="14.4" x14ac:dyDescent="0.3"/>
  <cols>
    <col min="1" max="1" width="1.88671875" customWidth="1"/>
    <col min="3" max="3" width="19.33203125" customWidth="1"/>
    <col min="4" max="4" width="18.5546875" customWidth="1"/>
    <col min="5" max="5" width="13.33203125" bestFit="1" customWidth="1"/>
    <col min="6" max="6" width="2.77734375" customWidth="1"/>
    <col min="7" max="7" width="3" bestFit="1" customWidth="1"/>
    <col min="8" max="8" width="38" customWidth="1"/>
    <col min="9" max="9" width="35.21875" customWidth="1"/>
  </cols>
  <sheetData>
    <row r="2" spans="2:10" ht="18" x14ac:dyDescent="0.35">
      <c r="B2" s="32" t="s">
        <v>51</v>
      </c>
      <c r="C2" s="33"/>
      <c r="D2" s="33"/>
      <c r="E2" s="33"/>
      <c r="F2" s="33"/>
      <c r="G2" s="33"/>
      <c r="H2" s="33"/>
      <c r="I2" s="33"/>
      <c r="J2" s="34"/>
    </row>
    <row r="4" spans="2:10" x14ac:dyDescent="0.3">
      <c r="B4" s="1" t="s">
        <v>0</v>
      </c>
      <c r="C4" s="1" t="s">
        <v>1</v>
      </c>
      <c r="D4" s="1" t="s">
        <v>2</v>
      </c>
      <c r="E4" s="1" t="s">
        <v>52</v>
      </c>
      <c r="H4" s="5" t="s">
        <v>3</v>
      </c>
      <c r="I4" s="2" t="s">
        <v>16</v>
      </c>
    </row>
    <row r="5" spans="2:10" ht="43.2" x14ac:dyDescent="0.3">
      <c r="B5" s="8" t="s">
        <v>8</v>
      </c>
      <c r="C5" s="132">
        <v>45617.847222222219</v>
      </c>
      <c r="D5" s="132">
        <v>45618.086805555555</v>
      </c>
      <c r="E5" s="4"/>
      <c r="G5" s="5">
        <v>24</v>
      </c>
      <c r="H5" s="6" t="str">
        <f t="shared" ref="H5" ca="1" si="0">_xlfn.IFNA(ADDRESS(ROW(E5),COLUMN(E5),4)&amp;": "&amp;_xlfn.FORMULATEXT(E5),"")</f>
        <v/>
      </c>
      <c r="I5" s="14" t="s">
        <v>294</v>
      </c>
    </row>
    <row r="6" spans="2:10" ht="43.2" x14ac:dyDescent="0.3">
      <c r="B6" s="8" t="s">
        <v>8</v>
      </c>
      <c r="C6" s="9">
        <v>0.84722222222222221</v>
      </c>
      <c r="D6" s="9">
        <v>8.6805555555555566E-2</v>
      </c>
      <c r="E6" s="4"/>
      <c r="G6" s="5">
        <v>24</v>
      </c>
      <c r="H6" s="6" t="str">
        <f t="shared" ref="H6:H7" ca="1" si="1">_xlfn.IFNA(ADDRESS(ROW(E6),COLUMN(E6),4)&amp;": "&amp;_xlfn.FORMULATEXT(E6),"")</f>
        <v/>
      </c>
      <c r="I6" s="14" t="s">
        <v>292</v>
      </c>
    </row>
    <row r="7" spans="2:10" ht="43.2" x14ac:dyDescent="0.3">
      <c r="B7" s="8" t="s">
        <v>8</v>
      </c>
      <c r="C7" s="9">
        <v>0.84722222222222221</v>
      </c>
      <c r="D7" s="9">
        <v>8.6805555555555552E-2</v>
      </c>
      <c r="E7" s="4"/>
      <c r="G7" s="5">
        <v>26</v>
      </c>
      <c r="H7" s="6" t="str">
        <f t="shared" ca="1" si="1"/>
        <v/>
      </c>
      <c r="I7" s="42" t="s">
        <v>293</v>
      </c>
    </row>
    <row r="9" spans="2:10" x14ac:dyDescent="0.3">
      <c r="I9" s="44" t="s">
        <v>53</v>
      </c>
      <c r="J9" s="45"/>
    </row>
    <row r="10" spans="2:10" x14ac:dyDescent="0.3">
      <c r="I10" s="6" t="s">
        <v>54</v>
      </c>
      <c r="J10" s="6" t="s">
        <v>55</v>
      </c>
    </row>
    <row r="11" spans="2:10" x14ac:dyDescent="0.3">
      <c r="I11" s="6" t="s">
        <v>56</v>
      </c>
      <c r="J11" s="6">
        <v>1</v>
      </c>
    </row>
    <row r="12" spans="2:10" x14ac:dyDescent="0.3">
      <c r="B12" s="133"/>
      <c r="I12" s="6" t="s">
        <v>57</v>
      </c>
      <c r="J12" s="4">
        <f>D6-C6-J11*INT((D6-C6)/J11)</f>
        <v>0.23958333333333337</v>
      </c>
    </row>
    <row r="13" spans="2:10" x14ac:dyDescent="0.3">
      <c r="B13" s="133"/>
    </row>
    <row r="14" spans="2:10" x14ac:dyDescent="0.3">
      <c r="I14" s="5" t="s">
        <v>3</v>
      </c>
    </row>
    <row r="15" spans="2:10" x14ac:dyDescent="0.3">
      <c r="B15" s="133"/>
      <c r="I15" t="str">
        <f ca="1">IF(_xlfn.ISFORMULA(J12),ADDRESS(ROW(J12),COLUMN(J12),4)&amp;": "&amp;_xlfn.FORMULATEXT(J12),"")</f>
        <v>J12: =D6-C6-J11*INT((D6-C6)/J11)</v>
      </c>
    </row>
    <row r="16" spans="2:10" x14ac:dyDescent="0.3">
      <c r="B16" s="133"/>
      <c r="I16" t="str">
        <f>"n - d*INT(n/d) = "&amp;TEXT(D6,"h:mm AM/PM")&amp;" - "&amp;TEXT(C6,"h:mm AM/PM")&amp;" - 1 * INT(("&amp;TEXT(D6,"h:mm AM/PM")&amp;" - "&amp;TEXT(C6,"h:mm AM/PM")&amp;")/1)"</f>
        <v>n - d*INT(n/d) = 2:05 AM - 8:20 PM - 1 * INT((2:05 AM - 8:20 PM)/1)</v>
      </c>
    </row>
    <row r="17" spans="9:9" x14ac:dyDescent="0.3">
      <c r="I17" t="s">
        <v>58</v>
      </c>
    </row>
    <row r="18" spans="9:9" x14ac:dyDescent="0.3">
      <c r="I18" s="43" t="s">
        <v>59</v>
      </c>
    </row>
    <row r="19" spans="9:9" x14ac:dyDescent="0.3">
      <c r="I19" t="s">
        <v>60</v>
      </c>
    </row>
  </sheetData>
  <hyperlinks>
    <hyperlink ref="I18" r:id="rId1" xr:uid="{EA8C3BDD-44A5-4B88-BACC-8FC626738808}"/>
  </hyperlinks>
  <pageMargins left="0.4" right="0.4" top="0.5" bottom="0.6" header="0.3" footer="0.3"/>
  <pageSetup scale="90" orientation="landscape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D262-6478-4714-8A93-9044835BCE0F}">
  <sheetPr>
    <tabColor rgb="FFFF0000"/>
    <pageSetUpPr fitToPage="1"/>
  </sheetPr>
  <dimension ref="B2:J19"/>
  <sheetViews>
    <sheetView zoomScaleNormal="100" workbookViewId="0">
      <selection activeCell="I19" sqref="I19"/>
    </sheetView>
  </sheetViews>
  <sheetFormatPr defaultColWidth="15.33203125" defaultRowHeight="14.4" x14ac:dyDescent="0.3"/>
  <cols>
    <col min="1" max="1" width="1.88671875" customWidth="1"/>
    <col min="3" max="3" width="19.33203125" customWidth="1"/>
    <col min="4" max="4" width="18.5546875" customWidth="1"/>
    <col min="5" max="5" width="13.33203125" bestFit="1" customWidth="1"/>
    <col min="6" max="6" width="2.77734375" customWidth="1"/>
    <col min="7" max="7" width="3" bestFit="1" customWidth="1"/>
    <col min="8" max="8" width="38" customWidth="1"/>
    <col min="9" max="9" width="35.21875" customWidth="1"/>
    <col min="10" max="10" width="1.6640625" customWidth="1"/>
  </cols>
  <sheetData>
    <row r="2" spans="2:10" ht="18" x14ac:dyDescent="0.35">
      <c r="B2" s="32" t="s">
        <v>51</v>
      </c>
      <c r="C2" s="33"/>
      <c r="D2" s="33"/>
      <c r="E2" s="33"/>
      <c r="F2" s="33"/>
      <c r="G2" s="33"/>
      <c r="H2" s="33"/>
      <c r="I2" s="33"/>
      <c r="J2" s="34"/>
    </row>
    <row r="4" spans="2:10" x14ac:dyDescent="0.3">
      <c r="B4" s="1" t="s">
        <v>0</v>
      </c>
      <c r="C4" s="1" t="s">
        <v>1</v>
      </c>
      <c r="D4" s="1" t="s">
        <v>2</v>
      </c>
      <c r="E4" s="1" t="s">
        <v>52</v>
      </c>
      <c r="H4" s="5" t="s">
        <v>3</v>
      </c>
      <c r="I4" s="2" t="s">
        <v>16</v>
      </c>
    </row>
    <row r="5" spans="2:10" ht="43.2" x14ac:dyDescent="0.3">
      <c r="B5" s="8" t="s">
        <v>8</v>
      </c>
      <c r="C5" s="132">
        <v>45617.847222222219</v>
      </c>
      <c r="D5" s="132">
        <v>45618.086805555555</v>
      </c>
      <c r="E5" s="4">
        <f>(D5-C5)*24</f>
        <v>5.7500000000582077</v>
      </c>
      <c r="G5" s="5">
        <v>24</v>
      </c>
      <c r="H5" s="6" t="str">
        <f t="shared" ref="H5:H7" ca="1" si="0">_xlfn.IFNA(ADDRESS(ROW(E5),COLUMN(E5),4)&amp;": "&amp;_xlfn.FORMULATEXT(E5),"")</f>
        <v>E5: =(D5-C5)*24</v>
      </c>
      <c r="I5" s="14" t="s">
        <v>294</v>
      </c>
    </row>
    <row r="6" spans="2:10" ht="43.2" x14ac:dyDescent="0.3">
      <c r="B6" s="8" t="s">
        <v>8</v>
      </c>
      <c r="C6" s="9">
        <v>0.84722222222222221</v>
      </c>
      <c r="D6" s="9">
        <v>8.6805555555555566E-2</v>
      </c>
      <c r="E6" s="4">
        <f>MOD(D6-C6,1)*24</f>
        <v>5.7500000000000009</v>
      </c>
      <c r="G6" s="5">
        <v>24</v>
      </c>
      <c r="H6" s="6" t="str">
        <f t="shared" ca="1" si="0"/>
        <v>E6: =MOD(D6-C6,1)*24</v>
      </c>
      <c r="I6" s="14" t="s">
        <v>292</v>
      </c>
    </row>
    <row r="7" spans="2:10" ht="43.2" x14ac:dyDescent="0.3">
      <c r="B7" s="8" t="s">
        <v>8</v>
      </c>
      <c r="C7" s="9">
        <v>0.84722222222222221</v>
      </c>
      <c r="D7" s="9">
        <v>8.6805555555555552E-2</v>
      </c>
      <c r="E7" s="4">
        <f>(D7-C7+(D7&lt;C7))*24</f>
        <v>5.7500000000000009</v>
      </c>
      <c r="G7" s="5">
        <v>26</v>
      </c>
      <c r="H7" s="6" t="str">
        <f t="shared" ca="1" si="0"/>
        <v>E7: =(D7-C7+(D7&lt;C7))*24</v>
      </c>
      <c r="I7" s="42" t="s">
        <v>293</v>
      </c>
    </row>
    <row r="9" spans="2:10" x14ac:dyDescent="0.3">
      <c r="B9" s="44" t="s">
        <v>53</v>
      </c>
      <c r="C9" s="45"/>
    </row>
    <row r="10" spans="2:10" x14ac:dyDescent="0.3">
      <c r="B10" s="6" t="s">
        <v>54</v>
      </c>
      <c r="C10" s="6" t="s">
        <v>55</v>
      </c>
    </row>
    <row r="11" spans="2:10" x14ac:dyDescent="0.3">
      <c r="B11" s="6" t="s">
        <v>56</v>
      </c>
      <c r="C11" s="6">
        <v>1</v>
      </c>
    </row>
    <row r="12" spans="2:10" x14ac:dyDescent="0.3">
      <c r="B12" s="6" t="s">
        <v>57</v>
      </c>
      <c r="C12" s="4">
        <f>D6-C6-C11*INT((D6-C6)/C11)</f>
        <v>0.23958333333333337</v>
      </c>
    </row>
    <row r="14" spans="2:10" x14ac:dyDescent="0.3">
      <c r="B14" s="5" t="s">
        <v>3</v>
      </c>
    </row>
    <row r="15" spans="2:10" x14ac:dyDescent="0.3">
      <c r="B15" t="str">
        <f ca="1">IF(_xlfn.ISFORMULA(C12),ADDRESS(ROW(C12),COLUMN(C12),4)&amp;": "&amp;_xlfn.FORMULATEXT(C12),"")</f>
        <v>C12: =D6-C6-C11*INT((D6-C6)/C11)</v>
      </c>
    </row>
    <row r="16" spans="2:10" x14ac:dyDescent="0.3">
      <c r="B16" t="str">
        <f>"n - d*INT(n/d) = "&amp;TEXT(D6,"h:mm AM/PM")&amp;" - "&amp;TEXT(C6,"h:mm AM/PM")&amp;" - 1 * INT(("&amp;TEXT(D6,"h:mm AM/PM")&amp;" - "&amp;TEXT(C6,"h:mm AM/PM")&amp;")/1)"</f>
        <v>n - d*INT(n/d) = 2:05 AM - 8:20 PM - 1 * INT((2:05 AM - 8:20 PM)/1)</v>
      </c>
    </row>
    <row r="17" spans="2:2" x14ac:dyDescent="0.3">
      <c r="B17" t="s">
        <v>58</v>
      </c>
    </row>
    <row r="18" spans="2:2" x14ac:dyDescent="0.3">
      <c r="B18" s="43" t="s">
        <v>59</v>
      </c>
    </row>
    <row r="19" spans="2:2" x14ac:dyDescent="0.3">
      <c r="B19" t="s">
        <v>60</v>
      </c>
    </row>
  </sheetData>
  <hyperlinks>
    <hyperlink ref="B18" r:id="rId1" xr:uid="{DF1F9E41-5785-475D-879C-60E36F2333EA}"/>
  </hyperlinks>
  <pageMargins left="0.4" right="0.4" top="0.5" bottom="0.6" header="0.3" footer="0.3"/>
  <pageSetup scale="87" orientation="landscape" r:id="rId2"/>
  <headerFooter>
    <oddFooter>&amp;L&amp;F - &amp;A 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C133-FDFD-4875-9A15-C68F28670043}">
  <sheetPr>
    <tabColor theme="1"/>
  </sheetPr>
  <dimension ref="A1"/>
  <sheetViews>
    <sheetView zoomScale="55" zoomScaleNormal="55" workbookViewId="0"/>
  </sheetViews>
  <sheetFormatPr defaultColWidth="8.88671875" defaultRowHeight="14.4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E30B-7D6B-482B-B1B1-124EF18326D2}">
  <sheetPr>
    <tabColor rgb="FF0000FF"/>
  </sheetPr>
  <dimension ref="B2:H14"/>
  <sheetViews>
    <sheetView zoomScaleNormal="100" workbookViewId="0"/>
  </sheetViews>
  <sheetFormatPr defaultColWidth="8.88671875" defaultRowHeight="14.4" x14ac:dyDescent="0.3"/>
  <cols>
    <col min="1" max="1" width="2" customWidth="1"/>
    <col min="2" max="2" width="19.88671875" customWidth="1"/>
    <col min="3" max="3" width="14.33203125" customWidth="1"/>
    <col min="4" max="4" width="13.44140625" customWidth="1"/>
    <col min="5" max="5" width="11.33203125" bestFit="1" customWidth="1"/>
    <col min="6" max="6" width="13.44140625" customWidth="1"/>
    <col min="7" max="7" width="15" customWidth="1"/>
    <col min="8" max="8" width="10.33203125" bestFit="1" customWidth="1"/>
  </cols>
  <sheetData>
    <row r="2" spans="2:8" x14ac:dyDescent="0.3">
      <c r="B2" t="s">
        <v>209</v>
      </c>
    </row>
    <row r="4" spans="2:8" ht="28.8" x14ac:dyDescent="0.3">
      <c r="B4" s="61" t="s">
        <v>210</v>
      </c>
      <c r="C4" s="61" t="s">
        <v>211</v>
      </c>
      <c r="D4" s="61" t="s">
        <v>212</v>
      </c>
      <c r="E4" s="61" t="s">
        <v>213</v>
      </c>
      <c r="F4" s="61" t="s">
        <v>214</v>
      </c>
      <c r="G4" s="61" t="s">
        <v>215</v>
      </c>
    </row>
    <row r="5" spans="2:8" x14ac:dyDescent="0.3">
      <c r="B5" s="6" t="s">
        <v>216</v>
      </c>
      <c r="C5" s="6">
        <v>2693</v>
      </c>
      <c r="D5" s="47">
        <v>227.66</v>
      </c>
      <c r="E5" s="13">
        <v>44172.5</v>
      </c>
      <c r="F5" s="13">
        <v>44254.5</v>
      </c>
      <c r="G5" s="4"/>
      <c r="H5" s="29"/>
    </row>
    <row r="6" spans="2:8" x14ac:dyDescent="0.3">
      <c r="B6" s="6" t="s">
        <v>217</v>
      </c>
      <c r="C6" s="6">
        <v>2867</v>
      </c>
      <c r="D6" s="47">
        <v>759.31</v>
      </c>
      <c r="E6" s="13">
        <v>44186.5</v>
      </c>
      <c r="F6" s="13">
        <v>44194.5</v>
      </c>
      <c r="G6" s="4"/>
      <c r="H6" s="29"/>
    </row>
    <row r="7" spans="2:8" x14ac:dyDescent="0.3">
      <c r="B7" s="6" t="s">
        <v>218</v>
      </c>
      <c r="C7" s="6">
        <v>3092</v>
      </c>
      <c r="D7" s="47">
        <v>303.89</v>
      </c>
      <c r="E7" s="13">
        <v>44189.5</v>
      </c>
      <c r="F7" s="13">
        <v>44394.5</v>
      </c>
      <c r="G7" s="4"/>
      <c r="H7" s="29"/>
    </row>
    <row r="8" spans="2:8" x14ac:dyDescent="0.3">
      <c r="B8" s="6" t="s">
        <v>219</v>
      </c>
      <c r="C8" s="6">
        <v>3222</v>
      </c>
      <c r="D8" s="47">
        <v>459.95</v>
      </c>
      <c r="E8" s="13">
        <v>44195.5</v>
      </c>
      <c r="F8" s="13">
        <v>44359.5</v>
      </c>
      <c r="G8" s="4"/>
      <c r="H8" s="29"/>
    </row>
    <row r="9" spans="2:8" x14ac:dyDescent="0.3">
      <c r="B9" s="6" t="s">
        <v>220</v>
      </c>
      <c r="C9" s="6">
        <v>3247</v>
      </c>
      <c r="D9" s="47">
        <v>574.95000000000005</v>
      </c>
      <c r="E9" s="13">
        <v>44211.5</v>
      </c>
      <c r="F9" s="13">
        <v>44384.5</v>
      </c>
      <c r="G9" s="4"/>
      <c r="H9" s="29"/>
    </row>
    <row r="10" spans="2:8" x14ac:dyDescent="0.3">
      <c r="B10" s="6" t="s">
        <v>221</v>
      </c>
      <c r="C10" s="6">
        <v>3319</v>
      </c>
      <c r="D10" s="47">
        <v>315.25</v>
      </c>
      <c r="E10" s="13">
        <v>44238.5</v>
      </c>
      <c r="F10" s="13">
        <v>44340.5</v>
      </c>
      <c r="G10" s="4"/>
      <c r="H10" s="29"/>
    </row>
    <row r="11" spans="2:8" x14ac:dyDescent="0.3">
      <c r="B11" s="6" t="s">
        <v>222</v>
      </c>
      <c r="C11" s="6">
        <v>3459</v>
      </c>
      <c r="D11" s="47">
        <v>181.82</v>
      </c>
      <c r="E11" s="13">
        <v>44243.5</v>
      </c>
      <c r="F11" s="13">
        <v>44256.5</v>
      </c>
      <c r="G11" s="4"/>
      <c r="H11" s="29"/>
    </row>
    <row r="12" spans="2:8" x14ac:dyDescent="0.3">
      <c r="B12" s="6" t="s">
        <v>223</v>
      </c>
      <c r="C12" s="6">
        <v>3587</v>
      </c>
      <c r="D12" s="47">
        <v>177.74</v>
      </c>
      <c r="E12" s="13">
        <v>44246.5</v>
      </c>
      <c r="F12" s="13">
        <v>44492.5</v>
      </c>
      <c r="G12" s="4"/>
      <c r="H12" s="29"/>
    </row>
    <row r="13" spans="2:8" x14ac:dyDescent="0.3">
      <c r="B13" s="6" t="s">
        <v>224</v>
      </c>
      <c r="C13" s="6">
        <v>3903</v>
      </c>
      <c r="D13" s="47">
        <v>581.59</v>
      </c>
      <c r="E13" s="13">
        <v>44269.5</v>
      </c>
      <c r="F13" s="13">
        <v>44321.5</v>
      </c>
      <c r="G13" s="4"/>
      <c r="H13" s="29"/>
    </row>
    <row r="14" spans="2:8" x14ac:dyDescent="0.3">
      <c r="B14" s="6" t="s">
        <v>225</v>
      </c>
      <c r="C14" s="6">
        <v>3950</v>
      </c>
      <c r="D14" s="47">
        <v>761.62</v>
      </c>
      <c r="E14" s="13">
        <v>44271.5</v>
      </c>
      <c r="F14" s="13">
        <v>44449.5</v>
      </c>
      <c r="G14" s="4"/>
      <c r="H14" s="29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1288-D1D3-4FB1-80B6-CD8D76834532}">
  <sheetPr>
    <tabColor rgb="FFFF0000"/>
  </sheetPr>
  <dimension ref="B2:K14"/>
  <sheetViews>
    <sheetView zoomScaleNormal="100" workbookViewId="0"/>
  </sheetViews>
  <sheetFormatPr defaultColWidth="8.88671875" defaultRowHeight="14.4" x14ac:dyDescent="0.3"/>
  <cols>
    <col min="1" max="1" width="2" customWidth="1"/>
    <col min="2" max="2" width="19.88671875" customWidth="1"/>
    <col min="3" max="3" width="14.33203125" customWidth="1"/>
    <col min="4" max="4" width="13.44140625" customWidth="1"/>
    <col min="5" max="5" width="11.33203125" bestFit="1" customWidth="1"/>
    <col min="6" max="6" width="13.44140625" customWidth="1"/>
    <col min="7" max="7" width="15" customWidth="1"/>
    <col min="8" max="8" width="10.33203125" bestFit="1" customWidth="1"/>
    <col min="9" max="9" width="14.44140625" bestFit="1" customWidth="1"/>
  </cols>
  <sheetData>
    <row r="2" spans="2:11" x14ac:dyDescent="0.3">
      <c r="B2" t="s">
        <v>209</v>
      </c>
    </row>
    <row r="4" spans="2:11" ht="28.8" x14ac:dyDescent="0.3">
      <c r="B4" s="61" t="s">
        <v>210</v>
      </c>
      <c r="C4" s="61" t="s">
        <v>211</v>
      </c>
      <c r="D4" s="61" t="s">
        <v>212</v>
      </c>
      <c r="E4" s="61" t="s">
        <v>213</v>
      </c>
      <c r="F4" s="61" t="s">
        <v>214</v>
      </c>
      <c r="G4" s="61" t="s">
        <v>215</v>
      </c>
      <c r="I4" s="5" t="s">
        <v>3</v>
      </c>
      <c r="K4" s="5" t="s">
        <v>226</v>
      </c>
    </row>
    <row r="5" spans="2:11" x14ac:dyDescent="0.3">
      <c r="B5" s="6" t="s">
        <v>216</v>
      </c>
      <c r="C5" s="6">
        <v>2693</v>
      </c>
      <c r="D5" s="47">
        <v>227.66</v>
      </c>
      <c r="E5" s="13">
        <v>44172.5</v>
      </c>
      <c r="F5" s="13">
        <v>44254.5</v>
      </c>
      <c r="G5" s="4" cm="1">
        <f t="array" ref="G5:G14">F5:F14-E5:E14</f>
        <v>82</v>
      </c>
      <c r="H5" s="29"/>
      <c r="I5" t="str">
        <f ca="1">_xlfn.FORMULATEXT(G5)</f>
        <v>=F5:F14-E5:E14</v>
      </c>
      <c r="K5" t="s">
        <v>227</v>
      </c>
    </row>
    <row r="6" spans="2:11" x14ac:dyDescent="0.3">
      <c r="B6" s="6" t="s">
        <v>217</v>
      </c>
      <c r="C6" s="6">
        <v>2867</v>
      </c>
      <c r="D6" s="47">
        <v>759.31</v>
      </c>
      <c r="E6" s="13">
        <v>44186.5</v>
      </c>
      <c r="F6" s="13">
        <v>44194.5</v>
      </c>
      <c r="G6" s="4">
        <v>8</v>
      </c>
      <c r="H6" s="29"/>
      <c r="K6" t="s">
        <v>228</v>
      </c>
    </row>
    <row r="7" spans="2:11" x14ac:dyDescent="0.3">
      <c r="B7" s="6" t="s">
        <v>218</v>
      </c>
      <c r="C7" s="6">
        <v>3092</v>
      </c>
      <c r="D7" s="47">
        <v>303.89</v>
      </c>
      <c r="E7" s="13">
        <v>44189.5</v>
      </c>
      <c r="F7" s="13">
        <v>44394.5</v>
      </c>
      <c r="G7" s="4">
        <v>205</v>
      </c>
      <c r="H7" s="29"/>
      <c r="K7" t="s">
        <v>229</v>
      </c>
    </row>
    <row r="8" spans="2:11" x14ac:dyDescent="0.3">
      <c r="B8" s="6" t="s">
        <v>219</v>
      </c>
      <c r="C8" s="6">
        <v>3222</v>
      </c>
      <c r="D8" s="47">
        <v>459.95</v>
      </c>
      <c r="E8" s="13">
        <v>44195.5</v>
      </c>
      <c r="F8" s="13">
        <v>44359.5</v>
      </c>
      <c r="G8" s="4">
        <v>164</v>
      </c>
      <c r="H8" s="29"/>
      <c r="K8" t="s">
        <v>230</v>
      </c>
    </row>
    <row r="9" spans="2:11" x14ac:dyDescent="0.3">
      <c r="B9" s="6" t="s">
        <v>220</v>
      </c>
      <c r="C9" s="6">
        <v>3247</v>
      </c>
      <c r="D9" s="47">
        <v>574.95000000000005</v>
      </c>
      <c r="E9" s="13">
        <v>44211.5</v>
      </c>
      <c r="F9" s="13">
        <v>44384.5</v>
      </c>
      <c r="G9" s="4">
        <v>173</v>
      </c>
      <c r="H9" s="29"/>
    </row>
    <row r="10" spans="2:11" x14ac:dyDescent="0.3">
      <c r="B10" s="6" t="s">
        <v>221</v>
      </c>
      <c r="C10" s="6">
        <v>3319</v>
      </c>
      <c r="D10" s="47">
        <v>315.25</v>
      </c>
      <c r="E10" s="13">
        <v>44238.5</v>
      </c>
      <c r="F10" s="13">
        <v>44340.5</v>
      </c>
      <c r="G10" s="4">
        <v>102</v>
      </c>
      <c r="H10" s="29"/>
    </row>
    <row r="11" spans="2:11" x14ac:dyDescent="0.3">
      <c r="B11" s="6" t="s">
        <v>222</v>
      </c>
      <c r="C11" s="6">
        <v>3459</v>
      </c>
      <c r="D11" s="47">
        <v>181.82</v>
      </c>
      <c r="E11" s="13">
        <v>44243.5</v>
      </c>
      <c r="F11" s="13">
        <v>44256.5</v>
      </c>
      <c r="G11" s="4">
        <v>13</v>
      </c>
      <c r="H11" s="29"/>
    </row>
    <row r="12" spans="2:11" x14ac:dyDescent="0.3">
      <c r="B12" s="6" t="s">
        <v>223</v>
      </c>
      <c r="C12" s="6">
        <v>3587</v>
      </c>
      <c r="D12" s="47">
        <v>177.74</v>
      </c>
      <c r="E12" s="13">
        <v>44246.5</v>
      </c>
      <c r="F12" s="13">
        <v>44492.5</v>
      </c>
      <c r="G12" s="4">
        <v>246</v>
      </c>
      <c r="H12" s="29"/>
    </row>
    <row r="13" spans="2:11" x14ac:dyDescent="0.3">
      <c r="B13" s="6" t="s">
        <v>224</v>
      </c>
      <c r="C13" s="6">
        <v>3903</v>
      </c>
      <c r="D13" s="47">
        <v>581.59</v>
      </c>
      <c r="E13" s="13">
        <v>44269.5</v>
      </c>
      <c r="F13" s="13">
        <v>44321.5</v>
      </c>
      <c r="G13" s="4">
        <v>52</v>
      </c>
      <c r="H13" s="29"/>
    </row>
    <row r="14" spans="2:11" x14ac:dyDescent="0.3">
      <c r="B14" s="6" t="s">
        <v>225</v>
      </c>
      <c r="C14" s="6">
        <v>3950</v>
      </c>
      <c r="D14" s="47">
        <v>761.62</v>
      </c>
      <c r="E14" s="13">
        <v>44271.5</v>
      </c>
      <c r="F14" s="13">
        <v>44449.5</v>
      </c>
      <c r="G14" s="4">
        <v>178</v>
      </c>
      <c r="H14" s="29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F655-ABA8-4FCF-A173-16537C9497F7}">
  <sheetPr>
    <tabColor rgb="FF0000FF"/>
  </sheetPr>
  <dimension ref="B2:E14"/>
  <sheetViews>
    <sheetView zoomScaleNormal="100" workbookViewId="0"/>
  </sheetViews>
  <sheetFormatPr defaultColWidth="8.88671875" defaultRowHeight="14.4" x14ac:dyDescent="0.3"/>
  <cols>
    <col min="1" max="1" width="2.33203125" customWidth="1"/>
    <col min="2" max="2" width="25.109375" customWidth="1"/>
    <col min="3" max="4" width="13.6640625" customWidth="1"/>
    <col min="5" max="5" width="23.44140625" customWidth="1"/>
    <col min="7" max="7" width="17.44140625" bestFit="1" customWidth="1"/>
  </cols>
  <sheetData>
    <row r="2" spans="2:5" x14ac:dyDescent="0.3">
      <c r="B2" t="s">
        <v>231</v>
      </c>
    </row>
    <row r="4" spans="2:5" ht="28.8" x14ac:dyDescent="0.3">
      <c r="B4" s="61" t="s">
        <v>232</v>
      </c>
      <c r="C4" s="61" t="s">
        <v>233</v>
      </c>
      <c r="D4" s="61" t="s">
        <v>234</v>
      </c>
      <c r="E4" s="119" t="s">
        <v>235</v>
      </c>
    </row>
    <row r="5" spans="2:5" x14ac:dyDescent="0.3">
      <c r="B5" s="6" t="s">
        <v>236</v>
      </c>
      <c r="C5" s="13">
        <v>43149</v>
      </c>
      <c r="D5" s="13">
        <v>43218</v>
      </c>
      <c r="E5" s="4"/>
    </row>
    <row r="6" spans="2:5" x14ac:dyDescent="0.3">
      <c r="B6" s="6" t="s">
        <v>237</v>
      </c>
      <c r="C6" s="13">
        <v>43066</v>
      </c>
      <c r="D6" s="13">
        <v>43285</v>
      </c>
      <c r="E6" s="4"/>
    </row>
    <row r="7" spans="2:5" x14ac:dyDescent="0.3">
      <c r="B7" s="6" t="s">
        <v>238</v>
      </c>
      <c r="C7" s="13">
        <v>43167</v>
      </c>
      <c r="D7" s="13">
        <v>43416</v>
      </c>
      <c r="E7" s="4"/>
    </row>
    <row r="8" spans="2:5" x14ac:dyDescent="0.3">
      <c r="B8" s="6" t="s">
        <v>239</v>
      </c>
      <c r="C8" s="13">
        <v>43070</v>
      </c>
      <c r="D8" s="13">
        <v>43267</v>
      </c>
      <c r="E8" s="4"/>
    </row>
    <row r="9" spans="2:5" x14ac:dyDescent="0.3">
      <c r="B9" s="6" t="s">
        <v>240</v>
      </c>
      <c r="C9" s="13">
        <v>43141</v>
      </c>
      <c r="D9" s="13">
        <v>43183</v>
      </c>
      <c r="E9" s="4"/>
    </row>
    <row r="10" spans="2:5" x14ac:dyDescent="0.3">
      <c r="B10" s="6" t="s">
        <v>241</v>
      </c>
      <c r="C10" s="13">
        <v>43123</v>
      </c>
      <c r="D10" s="13">
        <v>43177</v>
      </c>
      <c r="E10" s="4"/>
    </row>
    <row r="11" spans="2:5" x14ac:dyDescent="0.3">
      <c r="B11" s="6" t="s">
        <v>242</v>
      </c>
      <c r="C11" s="13">
        <v>43128</v>
      </c>
      <c r="D11" s="13">
        <v>43163</v>
      </c>
      <c r="E11" s="4"/>
    </row>
    <row r="12" spans="2:5" x14ac:dyDescent="0.3">
      <c r="B12" s="6" t="s">
        <v>243</v>
      </c>
      <c r="C12" s="13">
        <v>43086</v>
      </c>
      <c r="D12" s="13">
        <v>43318</v>
      </c>
      <c r="E12" s="4"/>
    </row>
    <row r="13" spans="2:5" x14ac:dyDescent="0.3">
      <c r="B13" s="6" t="s">
        <v>244</v>
      </c>
      <c r="C13" s="13">
        <v>43030</v>
      </c>
      <c r="D13" s="13">
        <v>43201</v>
      </c>
      <c r="E13" s="4"/>
    </row>
    <row r="14" spans="2:5" x14ac:dyDescent="0.3">
      <c r="B14" s="6" t="s">
        <v>245</v>
      </c>
      <c r="C14" s="13">
        <v>43108</v>
      </c>
      <c r="D14" s="13">
        <v>43345</v>
      </c>
      <c r="E14" s="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3E1E-0647-4ACA-AC29-E9176B66CDF3}">
  <sheetPr>
    <tabColor rgb="FFFF0000"/>
  </sheetPr>
  <dimension ref="B2:I14"/>
  <sheetViews>
    <sheetView zoomScaleNormal="100" workbookViewId="0"/>
  </sheetViews>
  <sheetFormatPr defaultColWidth="8.88671875" defaultRowHeight="14.4" x14ac:dyDescent="0.3"/>
  <cols>
    <col min="1" max="1" width="2.33203125" customWidth="1"/>
    <col min="2" max="2" width="25.109375" customWidth="1"/>
    <col min="3" max="4" width="13.109375" customWidth="1"/>
    <col min="5" max="5" width="23.44140625" customWidth="1"/>
    <col min="7" max="7" width="17.44140625" bestFit="1" customWidth="1"/>
  </cols>
  <sheetData>
    <row r="2" spans="2:9" x14ac:dyDescent="0.3">
      <c r="B2" t="s">
        <v>231</v>
      </c>
    </row>
    <row r="4" spans="2:9" ht="28.8" x14ac:dyDescent="0.3">
      <c r="B4" s="61" t="s">
        <v>232</v>
      </c>
      <c r="C4" s="61" t="s">
        <v>233</v>
      </c>
      <c r="D4" s="61" t="s">
        <v>234</v>
      </c>
      <c r="E4" s="119" t="s">
        <v>235</v>
      </c>
      <c r="G4" s="5" t="s">
        <v>3</v>
      </c>
      <c r="I4" s="5" t="s">
        <v>226</v>
      </c>
    </row>
    <row r="5" spans="2:9" x14ac:dyDescent="0.3">
      <c r="B5" s="6" t="s">
        <v>236</v>
      </c>
      <c r="C5" s="13">
        <v>43149</v>
      </c>
      <c r="D5" s="13">
        <v>43218</v>
      </c>
      <c r="E5" s="4" cm="1">
        <f t="array" ref="E5:E14">D5:D14-C5:C14+1</f>
        <v>70</v>
      </c>
      <c r="G5" t="str">
        <f ca="1">_xlfn.FORMULATEXT(E5)</f>
        <v>=D5:D14-C5:C14+1</v>
      </c>
      <c r="I5" t="s">
        <v>246</v>
      </c>
    </row>
    <row r="6" spans="2:9" x14ac:dyDescent="0.3">
      <c r="B6" s="6" t="s">
        <v>237</v>
      </c>
      <c r="C6" s="13">
        <v>43066</v>
      </c>
      <c r="D6" s="13">
        <v>43285</v>
      </c>
      <c r="E6" s="4">
        <v>220</v>
      </c>
      <c r="I6" t="s">
        <v>247</v>
      </c>
    </row>
    <row r="7" spans="2:9" x14ac:dyDescent="0.3">
      <c r="B7" s="6" t="s">
        <v>238</v>
      </c>
      <c r="C7" s="13">
        <v>43167</v>
      </c>
      <c r="D7" s="13">
        <v>43416</v>
      </c>
      <c r="E7" s="4">
        <v>250</v>
      </c>
      <c r="I7" t="s">
        <v>248</v>
      </c>
    </row>
    <row r="8" spans="2:9" x14ac:dyDescent="0.3">
      <c r="B8" s="6" t="s">
        <v>239</v>
      </c>
      <c r="C8" s="13">
        <v>43070</v>
      </c>
      <c r="D8" s="13">
        <v>43267</v>
      </c>
      <c r="E8" s="4">
        <v>198</v>
      </c>
    </row>
    <row r="9" spans="2:9" x14ac:dyDescent="0.3">
      <c r="B9" s="6" t="s">
        <v>240</v>
      </c>
      <c r="C9" s="13">
        <v>43141</v>
      </c>
      <c r="D9" s="13">
        <v>43183</v>
      </c>
      <c r="E9" s="4">
        <v>43</v>
      </c>
    </row>
    <row r="10" spans="2:9" x14ac:dyDescent="0.3">
      <c r="B10" s="6" t="s">
        <v>241</v>
      </c>
      <c r="C10" s="13">
        <v>43123</v>
      </c>
      <c r="D10" s="13">
        <v>43177</v>
      </c>
      <c r="E10" s="4">
        <v>55</v>
      </c>
    </row>
    <row r="11" spans="2:9" x14ac:dyDescent="0.3">
      <c r="B11" s="6" t="s">
        <v>242</v>
      </c>
      <c r="C11" s="13">
        <v>43128</v>
      </c>
      <c r="D11" s="13">
        <v>43163</v>
      </c>
      <c r="E11" s="4">
        <v>36</v>
      </c>
    </row>
    <row r="12" spans="2:9" x14ac:dyDescent="0.3">
      <c r="B12" s="6" t="s">
        <v>243</v>
      </c>
      <c r="C12" s="13">
        <v>43086</v>
      </c>
      <c r="D12" s="13">
        <v>43318</v>
      </c>
      <c r="E12" s="4">
        <v>233</v>
      </c>
    </row>
    <row r="13" spans="2:9" x14ac:dyDescent="0.3">
      <c r="B13" s="6" t="s">
        <v>244</v>
      </c>
      <c r="C13" s="13">
        <v>43030</v>
      </c>
      <c r="D13" s="13">
        <v>43201</v>
      </c>
      <c r="E13" s="4">
        <v>172</v>
      </c>
    </row>
    <row r="14" spans="2:9" x14ac:dyDescent="0.3">
      <c r="B14" s="6" t="s">
        <v>245</v>
      </c>
      <c r="C14" s="13">
        <v>43108</v>
      </c>
      <c r="D14" s="13">
        <v>43345</v>
      </c>
      <c r="E14" s="4">
        <v>238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878E-66FC-420E-956B-C6E8461FA56F}">
  <sheetPr>
    <tabColor rgb="FF0000FF"/>
  </sheetPr>
  <dimension ref="B2:C9"/>
  <sheetViews>
    <sheetView zoomScale="130" zoomScaleNormal="130" workbookViewId="0"/>
  </sheetViews>
  <sheetFormatPr defaultColWidth="8.88671875" defaultRowHeight="14.4" x14ac:dyDescent="0.3"/>
  <cols>
    <col min="1" max="1" width="2.33203125" customWidth="1"/>
    <col min="2" max="2" width="8.109375" bestFit="1" customWidth="1"/>
    <col min="3" max="3" width="11.44140625" bestFit="1" customWidth="1"/>
    <col min="4" max="4" width="15.44140625" customWidth="1"/>
    <col min="6" max="6" width="15.44140625" bestFit="1" customWidth="1"/>
    <col min="7" max="7" width="12.88671875" customWidth="1"/>
    <col min="8" max="8" width="11.44140625" customWidth="1"/>
    <col min="9" max="9" width="11.6640625" customWidth="1"/>
  </cols>
  <sheetData>
    <row r="2" spans="2:3" x14ac:dyDescent="0.3">
      <c r="B2" s="5" t="s">
        <v>249</v>
      </c>
      <c r="C2" t="s">
        <v>250</v>
      </c>
    </row>
    <row r="3" spans="2:3" x14ac:dyDescent="0.3">
      <c r="C3" t="s">
        <v>251</v>
      </c>
    </row>
    <row r="8" spans="2:3" x14ac:dyDescent="0.3">
      <c r="B8" s="5" t="s">
        <v>254</v>
      </c>
      <c r="C8" t="s">
        <v>255</v>
      </c>
    </row>
    <row r="9" spans="2:3" x14ac:dyDescent="0.3">
      <c r="C9" t="s">
        <v>256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CFDE-3990-4188-9EB7-720D0796C48D}">
  <sheetPr>
    <tabColor rgb="FFFF0000"/>
  </sheetPr>
  <dimension ref="B2:Q14"/>
  <sheetViews>
    <sheetView zoomScale="85" zoomScaleNormal="85" workbookViewId="0"/>
  </sheetViews>
  <sheetFormatPr defaultColWidth="8.88671875" defaultRowHeight="14.4" x14ac:dyDescent="0.3"/>
  <cols>
    <col min="1" max="1" width="2.33203125" customWidth="1"/>
    <col min="2" max="2" width="8.109375" bestFit="1" customWidth="1"/>
    <col min="3" max="3" width="11.44140625" bestFit="1" customWidth="1"/>
    <col min="4" max="4" width="15.44140625" customWidth="1"/>
    <col min="6" max="6" width="15.44140625" bestFit="1" customWidth="1"/>
    <col min="8" max="8" width="11.44140625" customWidth="1"/>
    <col min="9" max="9" width="11.6640625" customWidth="1"/>
  </cols>
  <sheetData>
    <row r="2" spans="2:17" x14ac:dyDescent="0.3">
      <c r="B2" s="5" t="s">
        <v>249</v>
      </c>
      <c r="C2" t="s">
        <v>250</v>
      </c>
    </row>
    <row r="3" spans="2:17" x14ac:dyDescent="0.3">
      <c r="C3" t="s">
        <v>251</v>
      </c>
    </row>
    <row r="5" spans="2:17" x14ac:dyDescent="0.3">
      <c r="C5" s="35" t="s">
        <v>252</v>
      </c>
      <c r="D5" s="13">
        <v>44503</v>
      </c>
      <c r="F5" s="46" t="s">
        <v>11</v>
      </c>
      <c r="H5" s="5" t="s">
        <v>3</v>
      </c>
      <c r="J5" s="5" t="s">
        <v>226</v>
      </c>
    </row>
    <row r="6" spans="2:17" x14ac:dyDescent="0.3">
      <c r="C6" s="35" t="s">
        <v>253</v>
      </c>
      <c r="D6" s="56">
        <f>EDATE(D5,F6)</f>
        <v>44564</v>
      </c>
      <c r="F6" s="6">
        <v>2</v>
      </c>
      <c r="H6" t="str">
        <f ca="1">_xlfn.FORMULATEXT(D6)</f>
        <v>=EDATE(D5,F6)</v>
      </c>
      <c r="J6" s="145" t="str">
        <f>C2&amp;" "&amp;C3</f>
        <v>Using one of Excel's Date Functions, calculate the Due Date if the invoice contract says that the amount is due on the same day, two month's ahead.</v>
      </c>
      <c r="K6" s="145"/>
      <c r="L6" s="145"/>
      <c r="M6" s="145"/>
      <c r="N6" s="145"/>
      <c r="O6" s="145"/>
      <c r="P6" s="145"/>
      <c r="Q6" s="145"/>
    </row>
    <row r="7" spans="2:17" x14ac:dyDescent="0.3">
      <c r="J7" s="145"/>
      <c r="K7" s="145"/>
      <c r="L7" s="145"/>
      <c r="M7" s="145"/>
      <c r="N7" s="145"/>
      <c r="O7" s="145"/>
      <c r="P7" s="145"/>
      <c r="Q7" s="145"/>
    </row>
    <row r="8" spans="2:17" x14ac:dyDescent="0.3">
      <c r="B8" s="5" t="s">
        <v>254</v>
      </c>
      <c r="C8" t="s">
        <v>255</v>
      </c>
      <c r="J8" s="145"/>
      <c r="K8" s="145"/>
      <c r="L8" s="145"/>
      <c r="M8" s="145"/>
      <c r="N8" s="145"/>
      <c r="O8" s="145"/>
      <c r="P8" s="145"/>
      <c r="Q8" s="145"/>
    </row>
    <row r="9" spans="2:17" x14ac:dyDescent="0.3">
      <c r="C9" t="s">
        <v>256</v>
      </c>
    </row>
    <row r="11" spans="2:17" x14ac:dyDescent="0.3">
      <c r="C11" s="35" t="s">
        <v>252</v>
      </c>
      <c r="D11" s="13">
        <v>44503</v>
      </c>
      <c r="F11" s="46" t="s">
        <v>11</v>
      </c>
      <c r="H11" s="5" t="s">
        <v>3</v>
      </c>
      <c r="J11" s="5" t="s">
        <v>226</v>
      </c>
    </row>
    <row r="12" spans="2:17" x14ac:dyDescent="0.3">
      <c r="C12" s="35" t="s">
        <v>253</v>
      </c>
      <c r="D12" s="56">
        <f>EOMONTH(D11,F12)</f>
        <v>44530</v>
      </c>
      <c r="F12" s="6">
        <v>0</v>
      </c>
      <c r="H12" t="str">
        <f ca="1">_xlfn.FORMULATEXT(D12)</f>
        <v>=EOMONTH(D11,F12)</v>
      </c>
      <c r="J12" s="145" t="str">
        <f>C8&amp;" "&amp;C9</f>
        <v>Using one of Excel's Date Functions, calculate the Due Date if the invoice contract says that the amount is due at the end of the month.</v>
      </c>
      <c r="K12" s="145"/>
      <c r="L12" s="145"/>
      <c r="M12" s="145"/>
      <c r="N12" s="145"/>
      <c r="O12" s="145"/>
      <c r="P12" s="145"/>
      <c r="Q12" s="145"/>
    </row>
    <row r="13" spans="2:17" x14ac:dyDescent="0.3">
      <c r="J13" s="145"/>
      <c r="K13" s="145"/>
      <c r="L13" s="145"/>
      <c r="M13" s="145"/>
      <c r="N13" s="145"/>
      <c r="O13" s="145"/>
      <c r="P13" s="145"/>
      <c r="Q13" s="145"/>
    </row>
    <row r="14" spans="2:17" x14ac:dyDescent="0.3">
      <c r="J14" s="145"/>
      <c r="K14" s="145"/>
      <c r="L14" s="145"/>
      <c r="M14" s="145"/>
      <c r="N14" s="145"/>
      <c r="O14" s="145"/>
      <c r="P14" s="145"/>
      <c r="Q14" s="145"/>
    </row>
  </sheetData>
  <mergeCells count="2">
    <mergeCell ref="J6:Q8"/>
    <mergeCell ref="J12:Q1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F207-DF95-4578-82C8-128F9AAEE9C6}">
  <sheetPr>
    <tabColor rgb="FF0000FF"/>
  </sheetPr>
  <dimension ref="B2:I17"/>
  <sheetViews>
    <sheetView zoomScale="85" zoomScaleNormal="85" workbookViewId="0"/>
  </sheetViews>
  <sheetFormatPr defaultColWidth="8.88671875" defaultRowHeight="14.4" x14ac:dyDescent="0.3"/>
  <cols>
    <col min="1" max="1" width="3.44140625" customWidth="1"/>
    <col min="2" max="2" width="16.109375" bestFit="1" customWidth="1"/>
    <col min="3" max="5" width="9.6640625" customWidth="1"/>
    <col min="6" max="6" width="13.88671875" bestFit="1" customWidth="1"/>
    <col min="7" max="7" width="9.44140625" bestFit="1" customWidth="1"/>
    <col min="8" max="8" width="10.109375" bestFit="1" customWidth="1"/>
    <col min="9" max="9" width="9.33203125" bestFit="1" customWidth="1"/>
    <col min="11" max="11" width="19.44140625" bestFit="1" customWidth="1"/>
    <col min="12" max="12" width="21.88671875" bestFit="1" customWidth="1"/>
    <col min="13" max="13" width="18.109375" bestFit="1" customWidth="1"/>
    <col min="14" max="14" width="9.33203125" bestFit="1" customWidth="1"/>
  </cols>
  <sheetData>
    <row r="2" spans="2:9" x14ac:dyDescent="0.3">
      <c r="B2" t="s">
        <v>257</v>
      </c>
    </row>
    <row r="4" spans="2:9" x14ac:dyDescent="0.3">
      <c r="H4" s="46" t="s">
        <v>258</v>
      </c>
    </row>
    <row r="5" spans="2:9" x14ac:dyDescent="0.3">
      <c r="H5" s="6">
        <v>7.6499999999999999E-2</v>
      </c>
    </row>
    <row r="7" spans="2:9" x14ac:dyDescent="0.3">
      <c r="B7" s="1" t="s">
        <v>34</v>
      </c>
      <c r="C7" s="1" t="s">
        <v>259</v>
      </c>
      <c r="D7" s="1" t="s">
        <v>260</v>
      </c>
      <c r="E7" s="1" t="s">
        <v>261</v>
      </c>
      <c r="F7" s="1" t="s">
        <v>38</v>
      </c>
      <c r="G7" s="1" t="s">
        <v>262</v>
      </c>
      <c r="H7" s="1" t="s">
        <v>263</v>
      </c>
      <c r="I7" s="1" t="s">
        <v>264</v>
      </c>
    </row>
    <row r="8" spans="2:9" x14ac:dyDescent="0.3">
      <c r="B8" s="6" t="s">
        <v>265</v>
      </c>
      <c r="C8" s="120">
        <v>24.94</v>
      </c>
      <c r="D8" s="36">
        <v>0.33333333333333331</v>
      </c>
      <c r="E8" s="36">
        <v>0.64583333333333337</v>
      </c>
      <c r="F8" s="4"/>
      <c r="G8" s="4"/>
      <c r="H8" s="4"/>
      <c r="I8" s="4"/>
    </row>
    <row r="9" spans="2:9" x14ac:dyDescent="0.3">
      <c r="B9" s="6" t="s">
        <v>266</v>
      </c>
      <c r="C9" s="120">
        <v>18.14</v>
      </c>
      <c r="D9" s="36">
        <v>0.375</v>
      </c>
      <c r="E9" s="36">
        <v>0.60416666666666674</v>
      </c>
      <c r="F9" s="4"/>
      <c r="G9" s="4"/>
      <c r="H9" s="4"/>
      <c r="I9" s="4"/>
    </row>
    <row r="10" spans="2:9" x14ac:dyDescent="0.3">
      <c r="B10" s="6" t="s">
        <v>267</v>
      </c>
      <c r="C10" s="120">
        <v>17.940000000000001</v>
      </c>
      <c r="D10" s="36">
        <v>0.3125</v>
      </c>
      <c r="E10" s="36">
        <v>0.62500000000000011</v>
      </c>
      <c r="F10" s="4"/>
      <c r="G10" s="4"/>
      <c r="H10" s="4"/>
      <c r="I10" s="4"/>
    </row>
    <row r="11" spans="2:9" x14ac:dyDescent="0.3">
      <c r="B11" s="6" t="s">
        <v>268</v>
      </c>
      <c r="C11" s="120">
        <v>26.7</v>
      </c>
      <c r="D11" s="36">
        <v>0.33333333333333331</v>
      </c>
      <c r="E11" s="36">
        <v>0.5625</v>
      </c>
      <c r="F11" s="4"/>
      <c r="G11" s="4"/>
      <c r="H11" s="4"/>
      <c r="I11" s="4"/>
    </row>
    <row r="12" spans="2:9" x14ac:dyDescent="0.3">
      <c r="B12" s="6" t="s">
        <v>269</v>
      </c>
      <c r="C12" s="120">
        <v>24.3</v>
      </c>
      <c r="D12" s="36">
        <v>0.375</v>
      </c>
      <c r="E12" s="36">
        <v>0.60416666666666674</v>
      </c>
      <c r="F12" s="4"/>
      <c r="G12" s="4"/>
      <c r="H12" s="4"/>
      <c r="I12" s="4"/>
    </row>
    <row r="13" spans="2:9" x14ac:dyDescent="0.3">
      <c r="B13" s="6" t="s">
        <v>270</v>
      </c>
      <c r="C13" s="120">
        <v>22.85</v>
      </c>
      <c r="D13" s="36">
        <v>0.33333333333333331</v>
      </c>
      <c r="E13" s="36">
        <v>0.75</v>
      </c>
      <c r="F13" s="4"/>
      <c r="G13" s="4"/>
      <c r="H13" s="4"/>
      <c r="I13" s="4"/>
    </row>
    <row r="14" spans="2:9" x14ac:dyDescent="0.3">
      <c r="B14" s="6" t="s">
        <v>271</v>
      </c>
      <c r="C14" s="120">
        <v>26.98</v>
      </c>
      <c r="D14" s="36">
        <v>0.27083333333333331</v>
      </c>
      <c r="E14" s="36">
        <v>0.47916666666666663</v>
      </c>
      <c r="F14" s="4"/>
      <c r="G14" s="4"/>
      <c r="H14" s="4"/>
      <c r="I14" s="4"/>
    </row>
    <row r="15" spans="2:9" x14ac:dyDescent="0.3">
      <c r="B15" s="6" t="s">
        <v>272</v>
      </c>
      <c r="C15" s="120">
        <v>17.71</v>
      </c>
      <c r="D15" s="36">
        <v>0.33333333333333331</v>
      </c>
      <c r="E15" s="36">
        <v>0.54166666666666663</v>
      </c>
      <c r="F15" s="4"/>
      <c r="G15" s="4"/>
      <c r="H15" s="4"/>
      <c r="I15" s="4"/>
    </row>
    <row r="16" spans="2:9" x14ac:dyDescent="0.3">
      <c r="B16" s="6" t="s">
        <v>273</v>
      </c>
      <c r="C16" s="120">
        <v>20.12</v>
      </c>
      <c r="D16" s="36">
        <v>0.29166666666666669</v>
      </c>
      <c r="E16" s="36">
        <v>0.68750000000000011</v>
      </c>
      <c r="F16" s="4"/>
      <c r="G16" s="4"/>
      <c r="H16" s="4"/>
      <c r="I16" s="4"/>
    </row>
    <row r="17" spans="2:9" x14ac:dyDescent="0.3">
      <c r="B17" s="6" t="s">
        <v>274</v>
      </c>
      <c r="C17" s="120">
        <v>23.69</v>
      </c>
      <c r="D17" s="36">
        <v>0.33333333333333331</v>
      </c>
      <c r="E17" s="36">
        <v>0.625</v>
      </c>
      <c r="F17" s="4"/>
      <c r="G17" s="4"/>
      <c r="H17" s="4"/>
      <c r="I17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4C7E-69A7-40C6-9602-68F518B4FBA1}">
  <sheetPr>
    <tabColor rgb="FFFF0000"/>
  </sheetPr>
  <dimension ref="B2:K17"/>
  <sheetViews>
    <sheetView zoomScale="85" zoomScaleNormal="85" workbookViewId="0"/>
  </sheetViews>
  <sheetFormatPr defaultColWidth="8.88671875" defaultRowHeight="14.4" x14ac:dyDescent="0.3"/>
  <cols>
    <col min="1" max="1" width="2.44140625" customWidth="1"/>
    <col min="2" max="2" width="16.109375" bestFit="1" customWidth="1"/>
    <col min="3" max="3" width="7.33203125" bestFit="1" customWidth="1"/>
    <col min="4" max="4" width="8" bestFit="1" customWidth="1"/>
    <col min="6" max="6" width="13.88671875" bestFit="1" customWidth="1"/>
    <col min="7" max="7" width="9.44140625" bestFit="1" customWidth="1"/>
    <col min="8" max="8" width="10.109375" bestFit="1" customWidth="1"/>
    <col min="9" max="9" width="9.33203125" bestFit="1" customWidth="1"/>
    <col min="11" max="11" width="19.44140625" bestFit="1" customWidth="1"/>
    <col min="12" max="12" width="21.88671875" bestFit="1" customWidth="1"/>
    <col min="13" max="13" width="18.109375" bestFit="1" customWidth="1"/>
    <col min="14" max="14" width="9.33203125" bestFit="1" customWidth="1"/>
  </cols>
  <sheetData>
    <row r="2" spans="2:11" x14ac:dyDescent="0.3">
      <c r="B2" t="s">
        <v>257</v>
      </c>
    </row>
    <row r="4" spans="2:11" x14ac:dyDescent="0.3">
      <c r="H4" s="46" t="s">
        <v>258</v>
      </c>
    </row>
    <row r="5" spans="2:11" x14ac:dyDescent="0.3">
      <c r="H5" s="6">
        <v>7.6499999999999999E-2</v>
      </c>
    </row>
    <row r="7" spans="2:11" x14ac:dyDescent="0.3">
      <c r="B7" s="1" t="s">
        <v>34</v>
      </c>
      <c r="C7" s="1" t="s">
        <v>259</v>
      </c>
      <c r="D7" s="1" t="s">
        <v>260</v>
      </c>
      <c r="E7" s="1" t="s">
        <v>261</v>
      </c>
      <c r="F7" s="1" t="s">
        <v>38</v>
      </c>
      <c r="G7" s="1" t="s">
        <v>262</v>
      </c>
      <c r="H7" s="1" t="s">
        <v>263</v>
      </c>
      <c r="I7" s="1" t="s">
        <v>264</v>
      </c>
      <c r="K7" s="5" t="s">
        <v>29</v>
      </c>
    </row>
    <row r="8" spans="2:11" x14ac:dyDescent="0.3">
      <c r="B8" s="6" t="s">
        <v>265</v>
      </c>
      <c r="C8" s="120">
        <v>24.94</v>
      </c>
      <c r="D8" s="36">
        <v>0.33333333333333331</v>
      </c>
      <c r="E8" s="36">
        <v>0.64583333333333337</v>
      </c>
      <c r="F8" s="4" cm="1">
        <f t="array" ref="F8:F17">(E8:E17-D8:D17)*24</f>
        <v>7.5000000000000018</v>
      </c>
      <c r="G8" s="121" cm="1">
        <f t="array" ref="G8:G17">ROUND(_xlfn.ANCHORARRAY(F8)*C8:C17,2)</f>
        <v>187.05</v>
      </c>
      <c r="H8" s="121" cm="1">
        <f t="array" ref="H8:H17">ROUND(_xlfn.ANCHORARRAY(G8)*H5,2)</f>
        <v>14.31</v>
      </c>
      <c r="I8" s="121" cm="1">
        <f t="array" ref="I8:I17">_xlfn.ANCHORARRAY(G8)-_xlfn.ANCHORARRAY(H8)</f>
        <v>172.74</v>
      </c>
      <c r="K8" t="str" cm="1">
        <f t="array" aca="1" ref="K8:K11" ca="1">_xlfn.TOCOL(F7:I7&amp;" Formula in Cell "&amp;ADDRESS(ROW(F8:I8),COLUMN(F8:I8),4)&amp;": "&amp;_xlfn.FORMULATEXT(F8:I8))</f>
        <v>Hours Worked Formula in Cell F8: =(E8:E17-D8:D17)*24</v>
      </c>
    </row>
    <row r="9" spans="2:11" x14ac:dyDescent="0.3">
      <c r="B9" s="6" t="s">
        <v>266</v>
      </c>
      <c r="C9" s="120">
        <v>18.14</v>
      </c>
      <c r="D9" s="36">
        <v>0.375</v>
      </c>
      <c r="E9" s="36">
        <v>0.60416666666666674</v>
      </c>
      <c r="F9" s="4">
        <v>5.5000000000000018</v>
      </c>
      <c r="G9" s="121">
        <v>99.77</v>
      </c>
      <c r="H9" s="121">
        <v>7.63</v>
      </c>
      <c r="I9" s="121">
        <v>92.14</v>
      </c>
      <c r="K9" t="str">
        <f ca="1"/>
        <v>Gross Pay Formula in Cell G8: =ROUND(F8#*C8:C17,2)</v>
      </c>
    </row>
    <row r="10" spans="2:11" x14ac:dyDescent="0.3">
      <c r="B10" s="6" t="s">
        <v>267</v>
      </c>
      <c r="C10" s="120">
        <v>17.940000000000001</v>
      </c>
      <c r="D10" s="36">
        <v>0.3125</v>
      </c>
      <c r="E10" s="36">
        <v>0.62500000000000011</v>
      </c>
      <c r="F10" s="4">
        <v>7.5000000000000027</v>
      </c>
      <c r="G10" s="121">
        <v>134.55000000000001</v>
      </c>
      <c r="H10" s="121">
        <v>10.29</v>
      </c>
      <c r="I10" s="121">
        <v>124.26000000000002</v>
      </c>
      <c r="K10" t="str">
        <f ca="1"/>
        <v>Deduction Formula in Cell H8: =ROUND(G8#*H5,2)</v>
      </c>
    </row>
    <row r="11" spans="2:11" x14ac:dyDescent="0.3">
      <c r="B11" s="6" t="s">
        <v>268</v>
      </c>
      <c r="C11" s="120">
        <v>26.7</v>
      </c>
      <c r="D11" s="36">
        <v>0.33333333333333331</v>
      </c>
      <c r="E11" s="36">
        <v>0.5625</v>
      </c>
      <c r="F11" s="4">
        <v>5.5</v>
      </c>
      <c r="G11" s="121">
        <v>146.85</v>
      </c>
      <c r="H11" s="121">
        <v>11.23</v>
      </c>
      <c r="I11" s="121">
        <v>135.62</v>
      </c>
      <c r="K11" t="str">
        <f ca="1"/>
        <v>Day's Pay Formula in Cell I8: =G8#-H8#</v>
      </c>
    </row>
    <row r="12" spans="2:11" x14ac:dyDescent="0.3">
      <c r="B12" s="6" t="s">
        <v>269</v>
      </c>
      <c r="C12" s="120">
        <v>24.3</v>
      </c>
      <c r="D12" s="36">
        <v>0.375</v>
      </c>
      <c r="E12" s="36">
        <v>0.60416666666666674</v>
      </c>
      <c r="F12" s="4">
        <v>5.5000000000000018</v>
      </c>
      <c r="G12" s="121">
        <v>133.65</v>
      </c>
      <c r="H12" s="121">
        <v>10.220000000000001</v>
      </c>
      <c r="I12" s="121">
        <v>123.43</v>
      </c>
    </row>
    <row r="13" spans="2:11" x14ac:dyDescent="0.3">
      <c r="B13" s="6" t="s">
        <v>270</v>
      </c>
      <c r="C13" s="120">
        <v>22.85</v>
      </c>
      <c r="D13" s="36">
        <v>0.33333333333333331</v>
      </c>
      <c r="E13" s="36">
        <v>0.75</v>
      </c>
      <c r="F13" s="4">
        <v>10</v>
      </c>
      <c r="G13" s="121">
        <v>228.5</v>
      </c>
      <c r="H13" s="121">
        <v>17.48</v>
      </c>
      <c r="I13" s="121">
        <v>211.02</v>
      </c>
    </row>
    <row r="14" spans="2:11" x14ac:dyDescent="0.3">
      <c r="B14" s="6" t="s">
        <v>271</v>
      </c>
      <c r="C14" s="120">
        <v>26.98</v>
      </c>
      <c r="D14" s="36">
        <v>0.27083333333333331</v>
      </c>
      <c r="E14" s="36">
        <v>0.47916666666666663</v>
      </c>
      <c r="F14" s="4">
        <v>5</v>
      </c>
      <c r="G14" s="121">
        <v>134.9</v>
      </c>
      <c r="H14" s="121">
        <v>10.32</v>
      </c>
      <c r="I14" s="121">
        <v>124.58000000000001</v>
      </c>
    </row>
    <row r="15" spans="2:11" x14ac:dyDescent="0.3">
      <c r="B15" s="6" t="s">
        <v>272</v>
      </c>
      <c r="C15" s="120">
        <v>17.71</v>
      </c>
      <c r="D15" s="36">
        <v>0.33333333333333331</v>
      </c>
      <c r="E15" s="36">
        <v>0.54166666666666663</v>
      </c>
      <c r="F15" s="4">
        <v>5</v>
      </c>
      <c r="G15" s="121">
        <v>88.55</v>
      </c>
      <c r="H15" s="121">
        <v>6.77</v>
      </c>
      <c r="I15" s="121">
        <v>81.78</v>
      </c>
    </row>
    <row r="16" spans="2:11" x14ac:dyDescent="0.3">
      <c r="B16" s="6" t="s">
        <v>273</v>
      </c>
      <c r="C16" s="120">
        <v>20.12</v>
      </c>
      <c r="D16" s="36">
        <v>0.29166666666666669</v>
      </c>
      <c r="E16" s="36">
        <v>0.68750000000000011</v>
      </c>
      <c r="F16" s="4">
        <v>9.5000000000000018</v>
      </c>
      <c r="G16" s="121">
        <v>191.14</v>
      </c>
      <c r="H16" s="121">
        <v>14.62</v>
      </c>
      <c r="I16" s="121">
        <v>176.51999999999998</v>
      </c>
    </row>
    <row r="17" spans="2:9" x14ac:dyDescent="0.3">
      <c r="B17" s="6" t="s">
        <v>274</v>
      </c>
      <c r="C17" s="120">
        <v>23.69</v>
      </c>
      <c r="D17" s="36">
        <v>0.33333333333333331</v>
      </c>
      <c r="E17" s="36">
        <v>0.625</v>
      </c>
      <c r="F17" s="4">
        <v>7</v>
      </c>
      <c r="G17" s="121">
        <v>165.83</v>
      </c>
      <c r="H17" s="121">
        <v>12.69</v>
      </c>
      <c r="I17" s="121">
        <v>153.14000000000001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3D0-BE6C-4C3E-9661-F5DEBEA53659}">
  <sheetPr>
    <tabColor rgb="FF0000FF"/>
  </sheetPr>
  <dimension ref="B2:K17"/>
  <sheetViews>
    <sheetView zoomScale="85" zoomScaleNormal="85" workbookViewId="0"/>
  </sheetViews>
  <sheetFormatPr defaultColWidth="8.88671875" defaultRowHeight="14.4" x14ac:dyDescent="0.3"/>
  <cols>
    <col min="1" max="1" width="2.44140625" customWidth="1"/>
    <col min="2" max="2" width="16.109375" bestFit="1" customWidth="1"/>
    <col min="3" max="3" width="7.33203125" bestFit="1" customWidth="1"/>
    <col min="4" max="4" width="8.21875" bestFit="1" customWidth="1"/>
    <col min="6" max="6" width="13.88671875" bestFit="1" customWidth="1"/>
    <col min="7" max="7" width="9.44140625" bestFit="1" customWidth="1"/>
    <col min="8" max="8" width="10.109375" bestFit="1" customWidth="1"/>
    <col min="9" max="9" width="9.33203125" bestFit="1" customWidth="1"/>
    <col min="11" max="11" width="19.44140625" bestFit="1" customWidth="1"/>
    <col min="12" max="12" width="21.88671875" bestFit="1" customWidth="1"/>
    <col min="13" max="13" width="18.109375" bestFit="1" customWidth="1"/>
    <col min="14" max="14" width="9.33203125" bestFit="1" customWidth="1"/>
  </cols>
  <sheetData>
    <row r="2" spans="2:11" x14ac:dyDescent="0.3">
      <c r="B2" t="s">
        <v>257</v>
      </c>
    </row>
    <row r="4" spans="2:11" x14ac:dyDescent="0.3">
      <c r="H4" s="46" t="s">
        <v>258</v>
      </c>
    </row>
    <row r="5" spans="2:11" x14ac:dyDescent="0.3">
      <c r="H5" s="6">
        <v>7.6499999999999999E-2</v>
      </c>
    </row>
    <row r="7" spans="2:11" x14ac:dyDescent="0.3">
      <c r="B7" s="1" t="s">
        <v>34</v>
      </c>
      <c r="C7" s="1" t="s">
        <v>259</v>
      </c>
      <c r="D7" s="1" t="s">
        <v>260</v>
      </c>
      <c r="E7" s="1" t="s">
        <v>261</v>
      </c>
      <c r="F7" s="1" t="s">
        <v>38</v>
      </c>
      <c r="G7" s="1" t="s">
        <v>262</v>
      </c>
      <c r="H7" s="1" t="s">
        <v>263</v>
      </c>
      <c r="I7" s="1" t="s">
        <v>264</v>
      </c>
      <c r="K7" s="5" t="s">
        <v>29</v>
      </c>
    </row>
    <row r="8" spans="2:11" x14ac:dyDescent="0.3">
      <c r="B8" s="6" t="s">
        <v>265</v>
      </c>
      <c r="C8" s="120">
        <v>24.94</v>
      </c>
      <c r="D8" s="36">
        <v>0.33333333333333331</v>
      </c>
      <c r="E8" s="36">
        <v>0.64583333333333337</v>
      </c>
      <c r="F8" s="4"/>
      <c r="G8" s="4"/>
      <c r="H8" s="4"/>
      <c r="I8" s="4"/>
    </row>
    <row r="9" spans="2:11" x14ac:dyDescent="0.3">
      <c r="B9" s="6" t="s">
        <v>266</v>
      </c>
      <c r="C9" s="120">
        <v>18.14</v>
      </c>
      <c r="D9" s="36">
        <v>0.375</v>
      </c>
      <c r="E9" s="36">
        <v>0.60416666666666674</v>
      </c>
      <c r="F9" s="4"/>
      <c r="G9" s="4"/>
      <c r="H9" s="4"/>
      <c r="I9" s="4"/>
    </row>
    <row r="10" spans="2:11" x14ac:dyDescent="0.3">
      <c r="B10" s="6" t="s">
        <v>267</v>
      </c>
      <c r="C10" s="120">
        <v>17.940000000000001</v>
      </c>
      <c r="D10" s="36">
        <v>0.3125</v>
      </c>
      <c r="E10" s="36">
        <v>0.62500000000000011</v>
      </c>
      <c r="F10" s="4"/>
      <c r="G10" s="4"/>
      <c r="H10" s="4"/>
      <c r="I10" s="4"/>
    </row>
    <row r="11" spans="2:11" x14ac:dyDescent="0.3">
      <c r="B11" s="6" t="s">
        <v>268</v>
      </c>
      <c r="C11" s="120">
        <v>26.7</v>
      </c>
      <c r="D11" s="36">
        <v>0.33333333333333331</v>
      </c>
      <c r="E11" s="36">
        <v>0.5625</v>
      </c>
      <c r="F11" s="4"/>
      <c r="G11" s="4"/>
      <c r="H11" s="4"/>
      <c r="I11" s="4"/>
    </row>
    <row r="12" spans="2:11" x14ac:dyDescent="0.3">
      <c r="B12" s="6" t="s">
        <v>269</v>
      </c>
      <c r="C12" s="120">
        <v>24.3</v>
      </c>
      <c r="D12" s="36">
        <v>0.375</v>
      </c>
      <c r="E12" s="36">
        <v>0.60416666666666674</v>
      </c>
      <c r="F12" s="4"/>
      <c r="G12" s="4"/>
      <c r="H12" s="4"/>
      <c r="I12" s="4"/>
    </row>
    <row r="13" spans="2:11" x14ac:dyDescent="0.3">
      <c r="B13" s="6" t="s">
        <v>270</v>
      </c>
      <c r="C13" s="120">
        <v>22.85</v>
      </c>
      <c r="D13" s="36">
        <v>0.33333333333333331</v>
      </c>
      <c r="E13" s="36">
        <v>0.75</v>
      </c>
      <c r="F13" s="4"/>
      <c r="G13" s="4"/>
      <c r="H13" s="4"/>
      <c r="I13" s="4"/>
    </row>
    <row r="14" spans="2:11" x14ac:dyDescent="0.3">
      <c r="B14" s="6" t="s">
        <v>271</v>
      </c>
      <c r="C14" s="120">
        <v>26.98</v>
      </c>
      <c r="D14" s="36">
        <v>0.70833333333333337</v>
      </c>
      <c r="E14" s="36">
        <v>4.1666666666666664E-2</v>
      </c>
      <c r="F14" s="4"/>
      <c r="G14" s="4"/>
      <c r="H14" s="4"/>
      <c r="I14" s="4"/>
    </row>
    <row r="15" spans="2:11" x14ac:dyDescent="0.3">
      <c r="B15" s="6" t="s">
        <v>272</v>
      </c>
      <c r="C15" s="120">
        <v>17.71</v>
      </c>
      <c r="D15" s="36">
        <v>0.75</v>
      </c>
      <c r="E15" s="36">
        <v>9.375E-2</v>
      </c>
      <c r="F15" s="4"/>
      <c r="G15" s="4"/>
      <c r="H15" s="4"/>
      <c r="I15" s="4"/>
    </row>
    <row r="16" spans="2:11" x14ac:dyDescent="0.3">
      <c r="B16" s="6" t="s">
        <v>273</v>
      </c>
      <c r="C16" s="120">
        <v>20.12</v>
      </c>
      <c r="D16" s="36">
        <v>0.95833333333333337</v>
      </c>
      <c r="E16" s="36">
        <v>0.27083333333333331</v>
      </c>
      <c r="F16" s="4"/>
      <c r="G16" s="4"/>
      <c r="H16" s="4"/>
      <c r="I16" s="4"/>
    </row>
    <row r="17" spans="2:9" x14ac:dyDescent="0.3">
      <c r="B17" s="6" t="s">
        <v>274</v>
      </c>
      <c r="C17" s="120">
        <v>23.69</v>
      </c>
      <c r="D17" s="36">
        <v>0.9375</v>
      </c>
      <c r="E17" s="36">
        <v>0.33333333333333331</v>
      </c>
      <c r="F17" s="4"/>
      <c r="G17" s="4"/>
      <c r="H17" s="4"/>
      <c r="I17" s="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3044-E9B5-4ED9-B468-9F523982C254}">
  <sheetPr>
    <tabColor rgb="FFFF0000"/>
  </sheetPr>
  <dimension ref="B2:K17"/>
  <sheetViews>
    <sheetView zoomScale="85" zoomScaleNormal="85" workbookViewId="0"/>
  </sheetViews>
  <sheetFormatPr defaultColWidth="8.88671875" defaultRowHeight="14.4" x14ac:dyDescent="0.3"/>
  <cols>
    <col min="1" max="1" width="2.44140625" customWidth="1"/>
    <col min="2" max="2" width="16.109375" bestFit="1" customWidth="1"/>
    <col min="3" max="3" width="7.33203125" bestFit="1" customWidth="1"/>
    <col min="4" max="4" width="8.21875" bestFit="1" customWidth="1"/>
    <col min="6" max="6" width="13.88671875" bestFit="1" customWidth="1"/>
    <col min="7" max="7" width="9.44140625" bestFit="1" customWidth="1"/>
    <col min="8" max="8" width="10.109375" bestFit="1" customWidth="1"/>
    <col min="9" max="9" width="9.33203125" bestFit="1" customWidth="1"/>
    <col min="11" max="11" width="19.44140625" bestFit="1" customWidth="1"/>
    <col min="12" max="12" width="21.88671875" bestFit="1" customWidth="1"/>
    <col min="13" max="13" width="18.109375" bestFit="1" customWidth="1"/>
    <col min="14" max="14" width="9.33203125" bestFit="1" customWidth="1"/>
  </cols>
  <sheetData>
    <row r="2" spans="2:11" x14ac:dyDescent="0.3">
      <c r="B2" t="s">
        <v>257</v>
      </c>
    </row>
    <row r="4" spans="2:11" x14ac:dyDescent="0.3">
      <c r="H4" s="46" t="s">
        <v>258</v>
      </c>
    </row>
    <row r="5" spans="2:11" x14ac:dyDescent="0.3">
      <c r="H5" s="6">
        <v>7.6499999999999999E-2</v>
      </c>
    </row>
    <row r="7" spans="2:11" x14ac:dyDescent="0.3">
      <c r="B7" s="1" t="s">
        <v>34</v>
      </c>
      <c r="C7" s="1" t="s">
        <v>259</v>
      </c>
      <c r="D7" s="1" t="s">
        <v>260</v>
      </c>
      <c r="E7" s="1" t="s">
        <v>261</v>
      </c>
      <c r="F7" s="1" t="s">
        <v>38</v>
      </c>
      <c r="G7" s="1" t="s">
        <v>262</v>
      </c>
      <c r="H7" s="1" t="s">
        <v>263</v>
      </c>
      <c r="I7" s="1" t="s">
        <v>264</v>
      </c>
      <c r="K7" s="5" t="s">
        <v>29</v>
      </c>
    </row>
    <row r="8" spans="2:11" x14ac:dyDescent="0.3">
      <c r="B8" s="6" t="s">
        <v>265</v>
      </c>
      <c r="C8" s="120">
        <v>24.94</v>
      </c>
      <c r="D8" s="36">
        <v>0.33333333333333331</v>
      </c>
      <c r="E8" s="36">
        <v>0.64583333333333337</v>
      </c>
      <c r="F8" s="4" cm="1">
        <f t="array" ref="F8:F17">MOD(E8:E17-D8:D17,1)*24</f>
        <v>7.5000000000000018</v>
      </c>
      <c r="G8" s="121" cm="1">
        <f t="array" ref="G8:G17">ROUND(_xlfn.ANCHORARRAY(F8)*C8:C17,2)</f>
        <v>187.05</v>
      </c>
      <c r="H8" s="121" cm="1">
        <f t="array" ref="H8:H17">ROUND(_xlfn.ANCHORARRAY(G8)*H5,2)</f>
        <v>14.31</v>
      </c>
      <c r="I8" s="121" cm="1">
        <f t="array" ref="I8:I17">_xlfn.ANCHORARRAY(G8)-_xlfn.ANCHORARRAY(H8)</f>
        <v>172.74</v>
      </c>
      <c r="K8" t="str" cm="1">
        <f t="array" aca="1" ref="K8:K11" ca="1">_xlfn.TOCOL(F7:I7&amp;" Formula in Cell "&amp;ADDRESS(ROW(F8:I8),COLUMN(F8:I8),4)&amp;": "&amp;_xlfn.FORMULATEXT(F8:I8))</f>
        <v>Hours Worked Formula in Cell F8: =MOD(E8:E17-D8:D17,1)*24</v>
      </c>
    </row>
    <row r="9" spans="2:11" x14ac:dyDescent="0.3">
      <c r="B9" s="6" t="s">
        <v>266</v>
      </c>
      <c r="C9" s="120">
        <v>18.14</v>
      </c>
      <c r="D9" s="36">
        <v>0.375</v>
      </c>
      <c r="E9" s="36">
        <v>0.60416666666666674</v>
      </c>
      <c r="F9" s="4">
        <v>5.5000000000000018</v>
      </c>
      <c r="G9" s="121">
        <v>99.77</v>
      </c>
      <c r="H9" s="121">
        <v>7.63</v>
      </c>
      <c r="I9" s="121">
        <v>92.14</v>
      </c>
      <c r="K9" t="str">
        <f ca="1"/>
        <v>Gross Pay Formula in Cell G8: =ROUND(F8#*C8:C17,2)</v>
      </c>
    </row>
    <row r="10" spans="2:11" x14ac:dyDescent="0.3">
      <c r="B10" s="6" t="s">
        <v>267</v>
      </c>
      <c r="C10" s="120">
        <v>17.940000000000001</v>
      </c>
      <c r="D10" s="36">
        <v>0.3125</v>
      </c>
      <c r="E10" s="36">
        <v>0.62500000000000011</v>
      </c>
      <c r="F10" s="4">
        <v>7.5000000000000027</v>
      </c>
      <c r="G10" s="121">
        <v>134.55000000000001</v>
      </c>
      <c r="H10" s="121">
        <v>10.29</v>
      </c>
      <c r="I10" s="121">
        <v>124.26000000000002</v>
      </c>
      <c r="K10" t="str">
        <f ca="1"/>
        <v>Deduction Formula in Cell H8: =ROUND(G8#*H5,2)</v>
      </c>
    </row>
    <row r="11" spans="2:11" x14ac:dyDescent="0.3">
      <c r="B11" s="6" t="s">
        <v>268</v>
      </c>
      <c r="C11" s="120">
        <v>26.7</v>
      </c>
      <c r="D11" s="36">
        <v>0.33333333333333331</v>
      </c>
      <c r="E11" s="36">
        <v>0.5625</v>
      </c>
      <c r="F11" s="4">
        <v>5.5</v>
      </c>
      <c r="G11" s="121">
        <v>146.85</v>
      </c>
      <c r="H11" s="121">
        <v>11.23</v>
      </c>
      <c r="I11" s="121">
        <v>135.62</v>
      </c>
      <c r="K11" t="str">
        <f ca="1"/>
        <v>Day's Pay Formula in Cell I8: =G8#-H8#</v>
      </c>
    </row>
    <row r="12" spans="2:11" x14ac:dyDescent="0.3">
      <c r="B12" s="6" t="s">
        <v>269</v>
      </c>
      <c r="C12" s="120">
        <v>24.3</v>
      </c>
      <c r="D12" s="36">
        <v>0.375</v>
      </c>
      <c r="E12" s="36">
        <v>0.60416666666666674</v>
      </c>
      <c r="F12" s="4">
        <v>5.5000000000000018</v>
      </c>
      <c r="G12" s="121">
        <v>133.65</v>
      </c>
      <c r="H12" s="121">
        <v>10.220000000000001</v>
      </c>
      <c r="I12" s="121">
        <v>123.43</v>
      </c>
    </row>
    <row r="13" spans="2:11" x14ac:dyDescent="0.3">
      <c r="B13" s="6" t="s">
        <v>270</v>
      </c>
      <c r="C13" s="120">
        <v>22.85</v>
      </c>
      <c r="D13" s="36">
        <v>0.33333333333333331</v>
      </c>
      <c r="E13" s="36">
        <v>0.75</v>
      </c>
      <c r="F13" s="4">
        <v>10</v>
      </c>
      <c r="G13" s="121">
        <v>228.5</v>
      </c>
      <c r="H13" s="121">
        <v>17.48</v>
      </c>
      <c r="I13" s="121">
        <v>211.02</v>
      </c>
    </row>
    <row r="14" spans="2:11" x14ac:dyDescent="0.3">
      <c r="B14" s="6" t="s">
        <v>271</v>
      </c>
      <c r="C14" s="120">
        <v>26.98</v>
      </c>
      <c r="D14" s="36">
        <v>0.70833333333333337</v>
      </c>
      <c r="E14" s="36">
        <v>4.1666666666666664E-2</v>
      </c>
      <c r="F14" s="4">
        <v>7.9999999999999982</v>
      </c>
      <c r="G14" s="121">
        <v>215.84</v>
      </c>
      <c r="H14" s="121">
        <v>16.510000000000002</v>
      </c>
      <c r="I14" s="121">
        <v>199.33</v>
      </c>
    </row>
    <row r="15" spans="2:11" x14ac:dyDescent="0.3">
      <c r="B15" s="6" t="s">
        <v>272</v>
      </c>
      <c r="C15" s="120">
        <v>17.71</v>
      </c>
      <c r="D15" s="36">
        <v>0.75</v>
      </c>
      <c r="E15" s="36">
        <v>9.375E-2</v>
      </c>
      <c r="F15" s="4">
        <v>8.25</v>
      </c>
      <c r="G15" s="121">
        <v>146.11000000000001</v>
      </c>
      <c r="H15" s="121">
        <v>11.18</v>
      </c>
      <c r="I15" s="121">
        <v>134.93</v>
      </c>
    </row>
    <row r="16" spans="2:11" x14ac:dyDescent="0.3">
      <c r="B16" s="6" t="s">
        <v>273</v>
      </c>
      <c r="C16" s="120">
        <v>20.12</v>
      </c>
      <c r="D16" s="36">
        <v>0.95833333333333337</v>
      </c>
      <c r="E16" s="36">
        <v>0.27083333333333331</v>
      </c>
      <c r="F16" s="4">
        <v>7.5</v>
      </c>
      <c r="G16" s="121">
        <v>150.9</v>
      </c>
      <c r="H16" s="121">
        <v>11.54</v>
      </c>
      <c r="I16" s="121">
        <v>139.36000000000001</v>
      </c>
    </row>
    <row r="17" spans="2:9" x14ac:dyDescent="0.3">
      <c r="B17" s="6" t="s">
        <v>274</v>
      </c>
      <c r="C17" s="120">
        <v>23.69</v>
      </c>
      <c r="D17" s="36">
        <v>0.9375</v>
      </c>
      <c r="E17" s="36">
        <v>0.33333333333333331</v>
      </c>
      <c r="F17" s="4">
        <v>9.4999999999999982</v>
      </c>
      <c r="G17" s="121">
        <v>225.06</v>
      </c>
      <c r="H17" s="121">
        <v>17.22</v>
      </c>
      <c r="I17" s="121">
        <v>207.84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19</vt:i4>
      </vt:variant>
    </vt:vector>
  </HeadingPairs>
  <TitlesOfParts>
    <vt:vector size="52" baseType="lpstr">
      <vt:lpstr>Topics</vt:lpstr>
      <vt:lpstr>Date and Time Formulas</vt:lpstr>
      <vt:lpstr>DateSerialNums</vt:lpstr>
      <vt:lpstr>DateSerialNums (an)</vt:lpstr>
      <vt:lpstr>DateNF</vt:lpstr>
      <vt:lpstr>F(1-5)</vt:lpstr>
      <vt:lpstr>F(1-5an)</vt:lpstr>
      <vt:lpstr>F(6-7)</vt:lpstr>
      <vt:lpstr>F(6-7an)</vt:lpstr>
      <vt:lpstr>F(8-11)</vt:lpstr>
      <vt:lpstr>F(8-11an)</vt:lpstr>
      <vt:lpstr>F(12-15)</vt:lpstr>
      <vt:lpstr>F(12-15an)</vt:lpstr>
      <vt:lpstr>F(16-20)</vt:lpstr>
      <vt:lpstr>F(16-20an)</vt:lpstr>
      <vt:lpstr>TimeSerialNums</vt:lpstr>
      <vt:lpstr>TimeSerialNums (an)</vt:lpstr>
      <vt:lpstr>TimeNF</vt:lpstr>
      <vt:lpstr>F(21-23)</vt:lpstr>
      <vt:lpstr>F(21-23an)</vt:lpstr>
      <vt:lpstr>F(24-26)</vt:lpstr>
      <vt:lpstr>F(24-26an)</vt:lpstr>
      <vt:lpstr>HW =&gt;</vt:lpstr>
      <vt:lpstr>HW(1)</vt:lpstr>
      <vt:lpstr>HW(1an)</vt:lpstr>
      <vt:lpstr>HW(2)</vt:lpstr>
      <vt:lpstr>HW(2an)</vt:lpstr>
      <vt:lpstr>HW(3)</vt:lpstr>
      <vt:lpstr>HW(3an)</vt:lpstr>
      <vt:lpstr>HW(4)</vt:lpstr>
      <vt:lpstr>HW(4an)</vt:lpstr>
      <vt:lpstr>HW(5)</vt:lpstr>
      <vt:lpstr>HW(5an)</vt:lpstr>
      <vt:lpstr>'Date and Time Formulas'!Print_Area</vt:lpstr>
      <vt:lpstr>DateSerialNums!Print_Area</vt:lpstr>
      <vt:lpstr>'DateSerialNums (an)'!Print_Area</vt:lpstr>
      <vt:lpstr>'F(12-15)'!Print_Area</vt:lpstr>
      <vt:lpstr>'F(12-15an)'!Print_Area</vt:lpstr>
      <vt:lpstr>'F(1-5)'!Print_Area</vt:lpstr>
      <vt:lpstr>'F(1-5an)'!Print_Area</vt:lpstr>
      <vt:lpstr>'F(16-20)'!Print_Area</vt:lpstr>
      <vt:lpstr>'F(16-20an)'!Print_Area</vt:lpstr>
      <vt:lpstr>'F(21-23)'!Print_Area</vt:lpstr>
      <vt:lpstr>'F(21-23an)'!Print_Area</vt:lpstr>
      <vt:lpstr>'F(24-26)'!Print_Area</vt:lpstr>
      <vt:lpstr>'F(24-26an)'!Print_Area</vt:lpstr>
      <vt:lpstr>'F(6-7)'!Print_Area</vt:lpstr>
      <vt:lpstr>'F(6-7an)'!Print_Area</vt:lpstr>
      <vt:lpstr>'F(8-11)'!Print_Area</vt:lpstr>
      <vt:lpstr>'F(8-11an)'!Print_Area</vt:lpstr>
      <vt:lpstr>Topics!Print_Area</vt:lpstr>
      <vt:lpstr>'Date and Time Formulas'!Print_Titles</vt:lpstr>
    </vt:vector>
  </TitlesOfParts>
  <Company>Highline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Girvin, Michael</cp:lastModifiedBy>
  <cp:lastPrinted>2024-11-23T20:14:12Z</cp:lastPrinted>
  <dcterms:created xsi:type="dcterms:W3CDTF">2024-11-17T17:18:46Z</dcterms:created>
  <dcterms:modified xsi:type="dcterms:W3CDTF">2024-11-24T01:49:43Z</dcterms:modified>
</cp:coreProperties>
</file>